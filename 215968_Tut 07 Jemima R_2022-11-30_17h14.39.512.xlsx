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MA\Documents\L in Psych Psychopy\data\"/>
    </mc:Choice>
  </mc:AlternateContent>
  <xr:revisionPtr revIDLastSave="0" documentId="13_ncr:1_{364AFF27-7CA5-41C4-809A-EA079DB28E6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15968_Tut 07 Jemima R_2022-11-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7" i="2" l="1"/>
  <c r="F8" i="2"/>
  <c r="F7" i="2"/>
  <c r="F5" i="2"/>
  <c r="F4" i="2"/>
</calcChain>
</file>

<file path=xl/sharedStrings.xml><?xml version="1.0" encoding="utf-8"?>
<sst xmlns="http://schemas.openxmlformats.org/spreadsheetml/2006/main" count="516" uniqueCount="160">
  <si>
    <t>delay</t>
  </si>
  <si>
    <t>freq</t>
  </si>
  <si>
    <t>condition</t>
  </si>
  <si>
    <t>trials.thisRepN</t>
  </si>
  <si>
    <t>trials.thisTrialN</t>
  </si>
  <si>
    <t>trials.thisN</t>
  </si>
  <si>
    <t>trials.thisIndex</t>
  </si>
  <si>
    <t>polygon.started</t>
  </si>
  <si>
    <t>polygon_2.started</t>
  </si>
  <si>
    <t>key_resp.started</t>
  </si>
  <si>
    <t>polygon.stopped</t>
  </si>
  <si>
    <t>key_resp.keys</t>
  </si>
  <si>
    <t>key_resp.rt</t>
  </si>
  <si>
    <t>sound_1.started</t>
  </si>
  <si>
    <t>sound_1.stopped</t>
  </si>
  <si>
    <t>text.started</t>
  </si>
  <si>
    <t>textbox.started</t>
  </si>
  <si>
    <t>button.started</t>
  </si>
  <si>
    <t>textbox.text</t>
  </si>
  <si>
    <t>button.numClicks</t>
  </si>
  <si>
    <t>button.timesOn</t>
  </si>
  <si>
    <t>button.timesOff</t>
  </si>
  <si>
    <t>participant</t>
  </si>
  <si>
    <t>session</t>
  </si>
  <si>
    <t>date</t>
  </si>
  <si>
    <t>expName</t>
  </si>
  <si>
    <t>psychopyVersion</t>
  </si>
  <si>
    <t>frameRate</t>
  </si>
  <si>
    <t>exp</t>
  </si>
  <si>
    <t>space</t>
  </si>
  <si>
    <t>[11.907412899890915]</t>
  </si>
  <si>
    <t>[11.907424599863589]</t>
  </si>
  <si>
    <t>2022-11-30_17h14.39.512</t>
  </si>
  <si>
    <t>Tut 07 Jemima R</t>
  </si>
  <si>
    <t>2022.2.4</t>
  </si>
  <si>
    <t>[11.907412899890915, 7.982498300028965]</t>
  </si>
  <si>
    <t>[11.907424599863589, 7.98250349983573]</t>
  </si>
  <si>
    <t>[11.907412899890915, 7.982498300028965, 7.083227799972519]</t>
  </si>
  <si>
    <t>[11.907424599863589, 7.98250349983573, 7.083231500117108]</t>
  </si>
  <si>
    <t>unexp</t>
  </si>
  <si>
    <t>[11.907412899890915, 7.982498300028965, 7.083227799972519, 9.0825376000721]</t>
  </si>
  <si>
    <t>[11.907424599863589, 7.98250349983573, 7.083231500117108, 9.082541299983859]</t>
  </si>
  <si>
    <t>[11.907412899890915, 7.982498300028965, 7.083227799972519, 9.0825376000721, 4.432317900005728]</t>
  </si>
  <si>
    <t>[11.907424599863589, 7.98250349983573, 7.083231500117108, 9.082541299983859, 4.432322199922055]</t>
  </si>
  <si>
    <t>[11.907412899890915, 7.982498300028965, 7.083227799972519, 9.0825376000721, 4.432317900005728, 4.465224500047043]</t>
  </si>
  <si>
    <t>[11.907424599863589, 7.98250349983573, 7.083231500117108, 9.082541299983859, 4.432322199922055, 4.465228399960324]</t>
  </si>
  <si>
    <t>[11.907412899890915, 7.982498300028965, 7.083227799972519, 9.0825376000721, 4.432317900005728, 4.465224500047043, 5.232364000054076]</t>
  </si>
  <si>
    <t>[11.907424599863589, 7.98250349983573, 7.083231500117108, 9.082541299983859, 4.432322199922055, 4.465228399960324, 5.232368600089103]</t>
  </si>
  <si>
    <t>[11.907412899890915, 7.982498300028965, 7.083227799972519, 9.0825376000721, 4.432317900005728, 4.465224500047043, 5.232364000054076, 3.999717000173405]</t>
  </si>
  <si>
    <t>[11.907424599863589, 7.98250349983573, 7.083231500117108, 9.082541299983859, 4.432322199922055, 4.465228399960324, 5.232368600089103, 3.999722500098869]</t>
  </si>
  <si>
    <t>[11.907412899890915, 7.982498300028965, 7.083227799972519, 9.0825376000721, 4.432317900005728, 4.465224500047043, 5.232364000054076, 3.999717000173405, 3.6326075000688434]</t>
  </si>
  <si>
    <t>[11.907424599863589, 7.98250349983573, 7.083231500117108, 9.082541299983859, 4.432322199922055, 4.465228399960324, 5.232368600089103, 3.999722500098869, 3.632612699875608]</t>
  </si>
  <si>
    <t>[11.907412899890915, 7.982498300028965, 7.083227799972519, 9.0825376000721, 4.432317900005728, 4.465224500047043, 5.232364000054076, 3.999717000173405, 3.6326075000688434, 3.432425499893725]</t>
  </si>
  <si>
    <t>[11.907424599863589, 7.98250349983573, 7.083231500117108, 9.082541299983859, 4.432322199922055, 4.465228399960324, 5.232368600089103, 3.999722500098869, 3.632612699875608, 3.4324318000581115]</t>
  </si>
  <si>
    <t>[11.907412899890915, 7.982498300028965, 7.083227799972519, 9.0825376000721, 4.432317900005728, 4.465224500047043, 5.232364000054076, 3.999717000173405, 3.6326075000688434, 3.432425499893725, 7.249206200009212]</t>
  </si>
  <si>
    <t>[11.907424599863589, 7.98250349983573, 7.083231500117108, 9.082541299983859, 4.432322199922055, 4.465228399960324, 5.232368600089103, 3.999722500098869, 3.632612699875608, 3.4324318000581115, 7.249210499925539]</t>
  </si>
  <si>
    <t>[11.907412899890915, 7.982498300028965, 7.083227799972519, 9.0825376000721, 4.432317900005728, 4.465224500047043, 5.232364000054076, 3.999717000173405, 3.6326075000688434, 3.432425499893725, 7.249206200009212, 5.466876900056377]</t>
  </si>
  <si>
    <t>[11.907424599863589, 7.98250349983573, 7.083231500117108, 9.082541299983859, 4.432322199922055, 4.465228399960324, 5.232368600089103, 3.999722500098869, 3.632612699875608, 3.4324318000581115, 7.249210499925539, 5.4668821999803185]</t>
  </si>
  <si>
    <t>[11.907412899890915, 7.982498300028965, 7.083227799972519, 9.0825376000721, 4.432317900005728, 4.465224500047043, 5.232364000054076, 3.999717000173405, 3.6326075000688434, 3.432425499893725, 7.249206200009212, 5.466876900056377, 3.548866800032556]</t>
  </si>
  <si>
    <t>[11.907424599863589, 7.98250349983573, 7.083231500117108, 9.082541299983859, 4.432322199922055, 4.465228399960324, 5.232368600089103, 3.999722500098869, 3.632612699875608, 3.4324318000581115, 7.249210499925539, 5.4668821999803185, 3.548871499951929]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</si>
  <si>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</si>
  <si>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</si>
  <si>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</si>
  <si>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</si>
  <si>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</si>
  <si>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</si>
  <si>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</si>
  <si>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</si>
  <si>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</si>
  <si>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</si>
  <si>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</si>
  <si>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</si>
  <si>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</si>
  <si>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</si>
  <si>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</si>
  <si>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</si>
  <si>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</si>
  <si>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</si>
  <si>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</si>
  <si>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</si>
  <si>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</si>
  <si>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</si>
  <si>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</si>
  <si>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</si>
  <si>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</si>
  <si>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</si>
  <si>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</si>
  <si>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</si>
  <si>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</si>
  <si>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</si>
  <si>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</si>
  <si>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</si>
  <si>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</si>
  <si>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</si>
  <si>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</si>
  <si>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</si>
  <si>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16.61610920005478, 3.3646178001072258]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</si>
  <si>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16.61611709999852, 3.3646222001407295]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</si>
  <si>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16.61610920005478, 3.3646178001072258, 2.599806600017473]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</si>
  <si>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16.61611709999852, 3.3646222001407295, 2.5998104999307543]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</si>
  <si>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16.61610920005478, 3.3646178001072258, 2.599806600017473, 2.084519499912858]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</si>
  <si>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16.61611709999852, 3.3646222001407295, 2.5998104999307543, 2.0845246999524534]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</si>
  <si>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16.61610920005478, 3.3646178001072258, 2.599806600017473, 2.084519499912858, 4.116676700068638]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</si>
  <si>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16.61611709999852, 3.3646222001407295, 2.5998104999307543, 2.0845246999524534, 4.116680200211704]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</si>
  <si>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16.61610920005478, 3.3646178001072258, 2.599806600017473, 2.084519499912858, 4.116676700068638, 3.082428799942136]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</si>
  <si>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16.61611709999852, 3.3646222001407295, 2.5998104999307543, 2.0845246999524534, 4.116680200211704, 3.082432599971071]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</si>
  <si>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16.61610920005478, 3.3646178001072258, 2.599806600017473, 2.084519499912858, 4.116676700068638, 3.082428799942136, 4.765931700123474]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</si>
  <si>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16.61611709999852, 3.3646222001407295, 2.5998104999307543, 2.0845246999524534, 4.116680200211704, 3.082432599971071, 4.765935300150886]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</si>
  <si>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16.61610920005478, 3.3646178001072258, 2.599806600017473, 2.084519499912858, 4.116676700068638, 3.082428799942136, 4.765931700123474, 2.516599199967459]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</si>
  <si>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16.61611709999852, 3.3646222001407295, 2.5998104999307543, 2.0845246999524534, 4.116680200211704, 3.082432599971071, 4.765935300150886, 2.516602799994871]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</si>
  <si>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16.61610920005478, 3.3646178001072258, 2.599806600017473, 2.084519499912858, 4.116676700068638, 3.082428799942136, 4.765931700123474, 2.516599199967459, 1.8326057000085711]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</si>
  <si>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16.61611709999852, 3.3646222001407295, 2.5998104999307543, 2.0845246999524534, 4.116680200211704, 3.082432599971071, 4.765935300150886, 2.516602799994871, 1.8326111000496894]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</si>
  <si>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16.61610920005478, 3.3646178001072258, 2.599806600017473, 2.084519499912858, 4.116676700068638, 3.082428799942136, 4.765931700123474, 2.516599199967459, 1.8326057000085711, 3.9829561999067664]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</si>
  <si>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16.61611709999852, 3.3646222001407295, 2.5998104999307543, 2.0845246999524534, 4.116680200211704, 3.082432599971071, 4.765935300150886, 2.516602799994871, 1.8326111000496894, 3.982961199944839]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</si>
  <si>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16.61610920005478, 3.3646178001072258, 2.599806600017473, 2.084519499912858, 4.116676700068638, 3.082428799942136, 4.765931700123474, 2.516599199967459, 1.8326057000085711, 3.9829561999067664, 3.6319606001488864]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</si>
  <si>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16.61611709999852, 3.3646222001407295, 2.5998104999307543, 2.0845246999524534, 4.116680200211704, 3.082432599971071, 4.765935300150886, 2.516602799994871, 1.8326111000496894, 3.982961199944839, 3.631965600186959]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</si>
  <si>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16.61610920005478, 3.3646178001072258, 2.599806600017473, 2.084519499912858, 4.116676700068638, 3.082428799942136, 4.765931700123474, 2.516599199967459, 1.8326057000085711, 3.9829561999067664, 3.6319606001488864, 2.1659826999530196]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</si>
  <si>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16.61611709999852, 3.3646222001407295, 2.5998104999307543, 2.0845246999524534, 4.116680200211704, 3.082432599971071, 4.765935300150886, 2.516602799994871, 1.8326111000496894, 3.982961199944839, 3.631965600186959, 2.165994199924171]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</si>
  <si>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16.61610920005478, 3.3646178001072258, 2.599806600017473, 2.084519499912858, 4.116676700068638, 3.082428799942136, 4.765931700123474, 2.516599199967459, 1.8326057000085711, 3.9829561999067664, 3.6319606001488864, 2.1659826999530196, 2.149519800208509]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</si>
  <si>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16.61611709999852, 3.3646222001407295, 2.5998104999307543, 2.0845246999524534, 4.116680200211704, 3.082432599971071, 4.765935300150886, 2.516602799994871, 1.8326111000496894, 3.982961199944839, 3.631965600186959, 2.165994199924171, 2.149525700137019]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</si>
  <si>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16.61610920005478, 3.3646178001072258, 2.599806600017473, 2.084519499912858, 4.116676700068638, 3.082428799942136, 4.765931700123474, 2.516599199967459, 1.8326057000085711, 3.9829561999067664, 3.6319606001488864, 2.1659826999530196, 2.149519800208509, 2.967553999973461]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</si>
  <si>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16.61611709999852, 3.3646222001407295, 2.5998104999307543, 2.0845246999524534, 4.116680200211704, 3.082432599971071, 4.765935300150886, 2.516602799994871, 1.8326111000496894, 3.982961199944839, 3.631965600186959, 2.165994199924171, 2.149525700137019, 2.9675572998821735]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</si>
  <si>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16.61610920005478, 3.3646178001072258, 2.599806600017473, 2.084519499912858, 4.116676700068638, 3.082428799942136, 4.765931700123474, 2.516599199967459, 1.8326057000085711, 3.9829561999067664, 3.6319606001488864, 2.1659826999530196, 2.149519800208509, 2.967553999973461, 5.2325516999699175]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</si>
  <si>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16.61611709999852, 3.3646222001407295, 2.5998104999307543, 2.0845246999524534, 4.116680200211704, 3.082432599971071, 4.765935300150886, 2.516602799994871, 1.8326111000496894, 3.982961199944839, 3.631965600186959, 2.165994199924171, 2.149525700137019, 2.9675572998821735, 5.232556300004944]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</si>
  <si>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16.61610920005478, 3.3646178001072258, 2.599806600017473, 2.084519499912858, 4.116676700068638, 3.082428799942136, 4.765931700123474, 2.516599199967459, 1.8326057000085711, 3.9829561999067664, 3.6319606001488864, 2.1659826999530196, 2.149519800208509, 2.967553999973461, 5.2325516999699175, 0.4832205001730472]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</si>
  <si>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16.61611709999852, 3.3646222001407295, 2.5998104999307543, 2.0845246999524534, 4.116680200211704, 3.082432599971071, 4.765935300150886, 2.516602799994871, 1.8326111000496894, 3.982961199944839, 3.631965600186959, 2.165994199924171, 2.149525700137019, 2.9675572998821735, 5.232556300004944, 0.48322410020045936]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</si>
  <si>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16.61610920005478, 3.3646178001072258, 2.599806600017473, 2.084519499912858, 4.116676700068638, 3.082428799942136, 4.765931700123474, 2.516599199967459, 1.8326057000085711, 3.9829561999067664, 3.6319606001488864, 2.1659826999530196, 2.149519800208509, 2.967553999973461, 5.2325516999699175, 0.4832205001730472, 1.3495122001040727]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</si>
  <si>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16.61611709999852, 3.3646222001407295, 2.5998104999307543, 2.0845246999524534, 4.116680200211704, 3.082432599971071, 4.765935300150886, 2.516602799994871, 1.8326111000496894, 3.982961199944839, 3.631965600186959, 2.165994199924171, 2.149525700137019, 2.9675572998821735, 5.232556300004944, 0.48322410020045936, 1.3495164001360536]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</si>
  <si>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16.61610920005478, 3.3646178001072258, 2.599806600017473, 2.084519499912858, 4.116676700068638, 3.082428799942136, 4.765931700123474, 2.516599199967459, 1.8326057000085711, 3.9829561999067664, 3.6319606001488864, 2.1659826999530196, 2.149519800208509, 2.967553999973461, 5.2325516999699175, 0.4832205001730472, 1.3495122001040727, 3.4157730999868363]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</si>
  <si>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16.61611709999852, 3.3646222001407295, 2.5998104999307543, 2.0845246999524534, 4.116680200211704, 3.082432599971071, 4.765935300150886, 2.516602799994871, 1.8326111000496894, 3.982961199944839, 3.631965600186959, 2.165994199924171, 2.149525700137019, 2.9675572998821735, 5.232556300004944, 0.48322410020045936, 1.3495164001360536, 3.4157765000127256]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</si>
  <si>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16.61610920005478, 3.3646178001072258, 2.599806600017473, 2.084519499912858, 4.116676700068638, 3.082428799942136, 4.765931700123474, 2.516599199967459, 1.8326057000085711, 3.9829561999067664, 3.6319606001488864, 2.1659826999530196, 2.149519800208509, 2.967553999973461, 5.2325516999699175, 0.4832205001730472, 1.3495122001040727, 3.4157730999868363, 1.8658871999941766]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</si>
  <si>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16.61611709999852, 3.3646222001407295, 2.5998104999307543, 2.0845246999524534, 4.116680200211704, 3.082432599971071, 4.765935300150886, 2.516602799994871, 1.8326111000496894, 3.982961199944839, 3.631965600186959, 2.165994199924171, 2.149525700137019, 2.9675572998821735, 5.232556300004944, 0.48322410020045936, 1.3495164001360536, 3.4157765000127256, 1.8658936999272555]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</si>
  <si>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16.61610920005478, 3.3646178001072258, 2.599806600017473, 2.084519499912858, 4.116676700068638, 3.082428799942136, 4.765931700123474, 2.516599199967459, 1.8326057000085711, 3.9829561999067664, 3.6319606001488864, 2.1659826999530196, 2.149519800208509, 2.967553999973461, 5.2325516999699175, 0.4832205001730472, 1.3495122001040727, 3.4157730999868363, 1.8658871999941766, 4.332847399869934]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</si>
  <si>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16.61611709999852, 3.3646222001407295, 2.5998104999307543, 2.0845246999524534, 4.116680200211704, 3.082432599971071, 4.765935300150886, 2.516602799994871, 1.8326111000496894, 3.982961199944839, 3.631965600186959, 2.165994199924171, 2.149525700137019, 2.9675572998821735, 5.232556300004944, 0.48322410020045936, 1.3495164001360536, 3.4157765000127256, 1.8658936999272555, 4.3328515000175685]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</si>
  <si>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16.61610920005478, 3.3646178001072258, 2.599806600017473, 2.084519499912858, 4.116676700068638, 3.082428799942136, 4.765931700123474, 2.516599199967459, 1.8326057000085711, 3.9829561999067664, 3.6319606001488864, 2.1659826999530196, 2.149519800208509, 2.967553999973461, 5.2325516999699175, 0.4832205001730472, 1.3495122001040727, 3.4157730999868363, 1.8658871999941766, 4.332847399869934, 4.4328740001656115]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</si>
  <si>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16.61611709999852, 3.3646222001407295, 2.5998104999307543, 2.0845246999524534, 4.116680200211704, 3.082432599971071, 4.765935300150886, 2.516602799994871, 1.8326111000496894, 3.982961199944839, 3.631965600186959, 2.165994199924171, 2.149525700137019, 2.9675572998821735, 5.232556300004944, 0.48322410020045936, 1.3495164001360536, 3.4157765000127256, 1.8658936999272555, 4.3328515000175685, 4.432880399981514]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</si>
  <si>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16.61610920005478, 3.3646178001072258, 2.599806600017473, 2.084519499912858, 4.116676700068638, 3.082428799942136, 4.765931700123474, 2.516599199967459, 1.8326057000085711, 3.9829561999067664, 3.6319606001488864, 2.1659826999530196, 2.149519800208509, 2.967553999973461, 5.2325516999699175, 0.4832205001730472, 1.3495122001040727, 3.4157730999868363, 1.8658871999941766, 4.332847399869934, 4.4328740001656115, 4.7162191001698375]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</si>
  <si>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16.61611709999852, 3.3646222001407295, 2.5998104999307543, 2.0845246999524534, 4.116680200211704, 3.082432599971071, 4.765935300150886, 2.516602799994871, 1.8326111000496894, 3.982961199944839, 3.631965600186959, 2.165994199924171, 2.149525700137019, 2.9675572998821735, 5.232556300004944, 0.48322410020045936, 1.3495164001360536, 3.4157765000127256, 1.8658936999272555, 4.3328515000175685, 4.432880399981514, 4.716227299999446]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</si>
  <si>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16.61610920005478, 3.3646178001072258, 2.599806600017473, 2.084519499912858, 4.116676700068638, 3.082428799942136, 4.765931700123474, 2.516599199967459, 1.8326057000085711, 3.9829561999067664, 3.6319606001488864, 2.1659826999530196, 2.149519800208509, 2.967553999973461, 5.2325516999699175, 0.4832205001730472, 1.3495122001040727, 3.4157730999868363, 1.8658871999941766, 4.332847399869934, 4.4328740001656115, 4.7162191001698375, 2.449363499879837]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</si>
  <si>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16.61611709999852, 3.3646222001407295, 2.5998104999307543, 2.0845246999524534, 4.116680200211704, 3.082432599971071, 4.765935300150886, 2.516602799994871, 1.8326111000496894, 3.982961199944839, 3.631965600186959, 2.165994199924171, 2.149525700137019, 2.9675572998821735, 5.232556300004944, 0.48322410020045936, 1.3495164001360536, 3.4157765000127256, 1.8658936999272555, 4.3328515000175685, 4.432880399981514, 4.716227299999446, 2.449367299908772]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</si>
  <si>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16.61610920005478, 3.3646178001072258, 2.599806600017473, 2.084519499912858, 4.116676700068638, 3.082428799942136, 4.765931700123474, 2.516599199967459, 1.8326057000085711, 3.9829561999067664, 3.6319606001488864, 2.1659826999530196, 2.149519800208509, 2.967553999973461, 5.2325516999699175, 0.4832205001730472, 1.3495122001040727, 3.4157730999868363, 1.8658871999941766, 4.332847399869934, 4.4328740001656115, 4.7162191001698375, 2.449363499879837, 2.4526961999945343]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</si>
  <si>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16.61611709999852, 3.3646222001407295, 2.5998104999307543, 2.0845246999524534, 4.116680200211704, 3.082432599971071, 4.765935300150886, 2.516602799994871, 1.8326111000496894, 3.982961199944839, 3.631965600186959, 2.165994199924171, 2.149525700137019, 2.9675572998821735, 5.232556300004944, 0.48322410020045936, 1.3495164001360536, 3.4157765000127256, 1.8658936999272555, 4.3328515000175685, 4.432880399981514, 4.716227299999446, 2.449367299908772, 2.4526998999062926]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</si>
  <si>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16.61610920005478, 3.3646178001072258, 2.599806600017473, 2.084519499912858, 4.116676700068638, 3.082428799942136, 4.765931700123474, 2.516599199967459, 1.8326057000085711, 3.9829561999067664, 3.6319606001488864, 2.1659826999530196, 2.149519800208509, 2.967553999973461, 5.2325516999699175, 0.4832205001730472, 1.3495122001040727, 3.4157730999868363, 1.8658871999941766, 4.332847399869934, 4.4328740001656115, 4.7162191001698375, 2.449363499879837, 2.4526961999945343, 1.8162066999357194]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</si>
  <si>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16.61611709999852, 3.3646222001407295, 2.5998104999307543, 2.0845246999524534, 4.116680200211704, 3.082432599971071, 4.765935300150886, 2.516602799994871, 1.8326111000496894, 3.982961199944839, 3.631965600186959, 2.165994199924171, 2.149525700137019, 2.9675572998821735, 5.232556300004944, 0.48322410020045936, 1.3495164001360536, 3.4157765000127256, 1.8658936999272555, 4.3328515000175685, 4.432880399981514, 4.716227299999446, 2.449367299908772, 2.4526998999062926, 1.816211799858138]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</si>
  <si>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16.61610920005478, 3.3646178001072258, 2.599806600017473, 2.084519499912858, 4.116676700068638, 3.082428799942136, 4.765931700123474, 2.516599199967459, 1.8326057000085711, 3.9829561999067664, 3.6319606001488864, 2.1659826999530196, 2.149519800208509, 2.967553999973461, 5.2325516999699175, 0.4832205001730472, 1.3495122001040727, 3.4157730999868363, 1.8658871999941766, 4.332847399869934, 4.4328740001656115, 4.7162191001698375, 2.449363499879837, 2.4526961999945343, 1.8162066999357194, 1.6158815999515355]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</si>
  <si>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16.61611709999852, 3.3646222001407295, 2.5998104999307543, 2.0845246999524534, 4.116680200211704, 3.082432599971071, 4.765935300150886, 2.516602799994871, 1.8326111000496894, 3.982961199944839, 3.631965600186959, 2.165994199924171, 2.149525700137019, 2.9675572998821735, 5.232556300004944, 0.48322410020045936, 1.3495164001360536, 3.4157765000127256, 1.8658936999272555, 4.3328515000175685, 4.432880399981514, 4.716227299999446, 2.449367299908772, 2.4526998999062926, 1.816211799858138, 1.6158858998678625]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</si>
  <si>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16.61610920005478, 3.3646178001072258, 2.599806600017473, 2.084519499912858, 4.116676700068638, 3.082428799942136, 4.765931700123474, 2.516599199967459, 1.8326057000085711, 3.9829561999067664, 3.6319606001488864, 2.1659826999530196, 2.149519800208509, 2.967553999973461, 5.2325516999699175, 0.4832205001730472, 1.3495122001040727, 3.4157730999868363, 1.8658871999941766, 4.332847399869934, 4.4328740001656115, 4.7162191001698375, 2.449363499879837, 2.4526961999945343, 1.8162066999357194, 1.6158815999515355, 1.916325300000608]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</si>
  <si>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16.61611709999852, 3.3646222001407295, 2.5998104999307543, 2.0845246999524534, 4.116680200211704, 3.082432599971071, 4.765935300150886, 2.516602799994871, 1.8326111000496894, 3.982961199944839, 3.631965600186959, 2.165994199924171, 2.149525700137019, 2.9675572998821735, 5.232556300004944, 0.48322410020045936, 1.3495164001360536, 3.4157765000127256, 1.8658936999272555, 4.3328515000175685, 4.432880399981514, 4.716227299999446, 2.449367299908772, 2.4526998999062926, 1.816211799858138, 1.6158858998678625, 1.9163291999138892]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</si>
  <si>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16.61610920005478, 3.3646178001072258, 2.599806600017473, 2.084519499912858, 4.116676700068638, 3.082428799942136, 4.765931700123474, 2.516599199967459, 1.8326057000085711, 3.9829561999067664, 3.6319606001488864, 2.1659826999530196, 2.149519800208509, 2.967553999973461, 5.2325516999699175, 0.4832205001730472, 1.3495122001040727, 3.4157730999868363, 1.8658871999941766, 4.332847399869934, 4.4328740001656115, 4.7162191001698375, 2.449363499879837, 2.4526961999945343, 1.8162066999357194, 1.6158815999515355, 1.916325300000608, 5.233003000030294]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</si>
  <si>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16.61611709999852, 3.3646222001407295, 2.5998104999307543, 2.0845246999524534, 4.116680200211704, 3.082432599971071, 4.765935300150886, 2.516602799994871, 1.8326111000496894, 3.982961199944839, 3.631965600186959, 2.165994199924171, 2.149525700137019, 2.9675572998821735, 5.232556300004944, 0.48322410020045936, 1.3495164001360536, 3.4157765000127256, 1.8658936999272555, 4.3328515000175685, 4.432880399981514, 4.716227299999446, 2.449367299908772, 2.4526998999062926, 1.816211799858138, 1.6158858998678625, 1.9163291999138892, 5.233009800082073]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</si>
  <si>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16.61610920005478, 3.3646178001072258, 2.599806600017473, 2.084519499912858, 4.116676700068638, 3.082428799942136, 4.765931700123474, 2.516599199967459, 1.8326057000085711, 3.9829561999067664, 3.6319606001488864, 2.1659826999530196, 2.149519800208509, 2.967553999973461, 5.2325516999699175, 0.4832205001730472, 1.3495122001040727, 3.4157730999868363, 1.8658871999941766, 4.332847399869934, 4.4328740001656115, 4.7162191001698375, 2.449363499879837, 2.4526961999945343, 1.8162066999357194, 1.6158815999515355, 1.916325300000608, 5.233003000030294, 2.1662572999484837]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</si>
  <si>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16.61611709999852, 3.3646222001407295, 2.5998104999307543, 2.0845246999524534, 4.116680200211704, 3.082432599971071, 4.765935300150886, 2.516602799994871, 1.8326111000496894, 3.982961199944839, 3.631965600186959, 2.165994199924171, 2.149525700137019, 2.9675572998821735, 5.232556300004944, 0.48322410020045936, 1.3495164001360536, 3.4157765000127256, 1.8658936999272555, 4.3328515000175685, 4.432880399981514, 4.716227299999446, 2.449367299908772, 2.4526998999062926, 1.816211799858138, 1.6158858998678625, 1.9163291999138892, 5.233009800082073, 2.1662620999850333]</t>
  </si>
  <si>
    <t>[11.907412899890915, 7.982498300028965, 7.083227799972519, 9.0825376000721, 4.432317900005728, 4.465224500047043, 5.232364000054076, 3.999717000173405, 3.6326075000688434, 3.432425499893725, 7.249206200009212, 5.466876900056377, 3.548866800032556, 4.065462900092825, 3.6995294999796897, 5.23321170010604, 3.5156922000460327, 2.3320492000784725, 3.499434500001371, 7.96626490005292, 2.7662793998606503, 3.6166240000166, 2.832201800076291, 4.732520899968222, 3.366747400024906, 2.7486984999850392, 2.165723199956119, 5.082748800050467, 2.116144800093025, 3.63305260008201, 16.61610920005478, 3.3646178001072258, 2.599806600017473, 2.084519499912858, 4.116676700068638, 3.082428799942136, 4.765931700123474, 2.516599199967459, 1.8326057000085711, 3.9829561999067664, 3.6319606001488864, 2.1659826999530196, 2.149519800208509, 2.967553999973461, 5.2325516999699175, 0.4832205001730472, 1.3495122001040727, 3.4157730999868363, 1.8658871999941766, 4.332847399869934, 4.4328740001656115, 4.7162191001698375, 2.449363499879837, 2.4526961999945343, 1.8162066999357194, 1.6158815999515355, 1.916325300000608, 5.233003000030294, 2.1662572999484837, 2.29977190005593]</t>
  </si>
  <si>
    <t>[11.907424599863589, 7.98250349983573, 7.083231500117108, 9.082541299983859, 4.432322199922055, 4.465228399960324, 5.232368600089103, 3.999722500098869, 3.632612699875608, 3.4324318000581115, 7.249210499925539, 5.4668821999803185, 3.548871499951929, 4.065468300133944, 3.699534900020808, 5.23321589990519, 3.5156965001951903, 2.332060999935493, 3.499440200161189, 7.966268999967724, 2.766283900011331, 3.6166286999359727, 2.832206000108272, 4.732526100007817, 3.3667538999579847, 2.7487039999105036, 2.165728700114414, 5.082753300201148, 2.1161485000047833, 3.6330564999952912, 16.61611709999852, 3.3646222001407295, 2.5998104999307543, 2.0845246999524534, 4.116680200211704, 3.082432599971071, 4.765935300150886, 2.516602799994871, 1.8326111000496894, 3.982961199944839, 3.631965600186959, 2.165994199924171, 2.149525700137019, 2.9675572998821735, 5.232556300004944, 0.48322410020045936, 1.3495164001360536, 3.4157765000127256, 1.8658936999272555, 4.3328515000175685, 4.432880399981514, 4.716227299999446, 2.449367299908772, 2.4526998999062926, 1.816211799858138, 1.6158858998678625, 1.9163291999138892, 5.233009800082073, 2.1662620999850333, 2.299775700084865]</t>
  </si>
  <si>
    <t>exp total</t>
  </si>
  <si>
    <t>unexp total</t>
  </si>
  <si>
    <t>exp avg</t>
  </si>
  <si>
    <t>unexp avg</t>
  </si>
  <si>
    <t>Difference</t>
  </si>
  <si>
    <t xml:space="preserve">exp - unexp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</si>
</sst>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1"/>
  <sheetViews>
    <sheetView workbookViewId="0">
      <selection activeCell="S1" sqref="S1:S1048576"/>
    </sheetView>
  </sheetViews>
  <sheetFormatPr defaultRowHeight="14.4" x14ac:dyDescent="0.3"/>
  <cols>
    <col min="19" max="19" width="13.554687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0.1</v>
      </c>
      <c r="B2">
        <v>1000</v>
      </c>
      <c r="C2" t="s">
        <v>28</v>
      </c>
      <c r="D2">
        <v>0</v>
      </c>
      <c r="E2">
        <v>0</v>
      </c>
      <c r="F2">
        <v>0</v>
      </c>
      <c r="G2">
        <v>3</v>
      </c>
      <c r="H2">
        <v>51.763783700065602</v>
      </c>
      <c r="I2">
        <v>52.5624003000557</v>
      </c>
      <c r="J2">
        <v>52.5624003000557</v>
      </c>
      <c r="K2">
        <v>52.779312300030099</v>
      </c>
      <c r="L2" t="s">
        <v>29</v>
      </c>
      <c r="M2">
        <v>9.9866006001830101</v>
      </c>
      <c r="N2">
        <v>62.679076080093999</v>
      </c>
      <c r="O2">
        <v>62.998289299895902</v>
      </c>
      <c r="P2">
        <v>62.998289299895902</v>
      </c>
      <c r="Q2">
        <v>62.998289299895902</v>
      </c>
      <c r="R2">
        <v>62.998289299895902</v>
      </c>
      <c r="S2">
        <v>260</v>
      </c>
      <c r="T2">
        <v>1</v>
      </c>
      <c r="U2" t="s">
        <v>30</v>
      </c>
      <c r="V2" t="s">
        <v>31</v>
      </c>
      <c r="W2">
        <v>215968</v>
      </c>
      <c r="X2">
        <v>1</v>
      </c>
      <c r="Y2" t="s">
        <v>32</v>
      </c>
      <c r="Z2" t="s">
        <v>33</v>
      </c>
      <c r="AA2" t="s">
        <v>34</v>
      </c>
      <c r="AB2">
        <v>60.013707095343101</v>
      </c>
    </row>
    <row r="3" spans="1:28" x14ac:dyDescent="0.3">
      <c r="A3">
        <v>0.1</v>
      </c>
      <c r="B3">
        <v>1000</v>
      </c>
      <c r="C3" t="s">
        <v>28</v>
      </c>
      <c r="D3">
        <v>0</v>
      </c>
      <c r="E3">
        <v>1</v>
      </c>
      <c r="F3">
        <v>1</v>
      </c>
      <c r="G3">
        <v>9</v>
      </c>
      <c r="H3">
        <v>74.879654299933406</v>
      </c>
      <c r="I3">
        <v>75.879866899922405</v>
      </c>
      <c r="J3">
        <v>75.879866899922405</v>
      </c>
      <c r="K3">
        <v>75.879866899922405</v>
      </c>
      <c r="L3" t="s">
        <v>29</v>
      </c>
      <c r="M3">
        <v>0.91819540015421797</v>
      </c>
      <c r="N3">
        <v>76.929372880025696</v>
      </c>
      <c r="O3">
        <v>77.2297318000346</v>
      </c>
      <c r="P3">
        <v>77.2297318000346</v>
      </c>
      <c r="Q3">
        <v>77.2297318000346</v>
      </c>
      <c r="R3">
        <v>77.2297318000346</v>
      </c>
      <c r="S3">
        <v>1</v>
      </c>
      <c r="T3">
        <v>2</v>
      </c>
      <c r="U3" t="s">
        <v>35</v>
      </c>
      <c r="V3" t="s">
        <v>36</v>
      </c>
      <c r="W3">
        <v>215968</v>
      </c>
      <c r="X3">
        <v>1</v>
      </c>
      <c r="Y3" t="s">
        <v>32</v>
      </c>
      <c r="Z3" t="s">
        <v>33</v>
      </c>
      <c r="AA3" t="s">
        <v>34</v>
      </c>
      <c r="AB3">
        <v>60.013707095343101</v>
      </c>
    </row>
    <row r="4" spans="1:28" x14ac:dyDescent="0.3">
      <c r="A4">
        <v>0.4</v>
      </c>
      <c r="B4">
        <v>1000</v>
      </c>
      <c r="C4" t="s">
        <v>28</v>
      </c>
      <c r="D4">
        <v>0</v>
      </c>
      <c r="E4">
        <v>2</v>
      </c>
      <c r="F4">
        <v>2</v>
      </c>
      <c r="G4">
        <v>7</v>
      </c>
      <c r="H4">
        <v>85.212518699932801</v>
      </c>
      <c r="I4">
        <v>86.196314800064997</v>
      </c>
      <c r="J4">
        <v>86.196314800064997</v>
      </c>
      <c r="K4">
        <v>86.212860499974298</v>
      </c>
      <c r="L4" t="s">
        <v>29</v>
      </c>
      <c r="M4">
        <v>1.69575219997204</v>
      </c>
      <c r="N4">
        <v>88.312818179954704</v>
      </c>
      <c r="O4">
        <v>88.613530700094998</v>
      </c>
      <c r="P4">
        <v>88.613530700094998</v>
      </c>
      <c r="Q4">
        <v>88.613530700094998</v>
      </c>
      <c r="R4">
        <v>88.613530700094998</v>
      </c>
      <c r="S4">
        <v>200</v>
      </c>
      <c r="T4">
        <v>3</v>
      </c>
      <c r="U4" t="s">
        <v>37</v>
      </c>
      <c r="V4" t="s">
        <v>38</v>
      </c>
      <c r="W4">
        <v>215968</v>
      </c>
      <c r="X4">
        <v>1</v>
      </c>
      <c r="Y4" t="s">
        <v>32</v>
      </c>
      <c r="Z4" t="s">
        <v>33</v>
      </c>
      <c r="AA4" t="s">
        <v>34</v>
      </c>
      <c r="AB4">
        <v>60.013707095343101</v>
      </c>
    </row>
    <row r="5" spans="1:28" x14ac:dyDescent="0.3">
      <c r="A5">
        <v>0.7</v>
      </c>
      <c r="B5">
        <v>400</v>
      </c>
      <c r="C5" t="s">
        <v>39</v>
      </c>
      <c r="D5">
        <v>0</v>
      </c>
      <c r="E5">
        <v>3</v>
      </c>
      <c r="F5">
        <v>3</v>
      </c>
      <c r="G5">
        <v>2</v>
      </c>
      <c r="H5">
        <v>95.696833299938504</v>
      </c>
      <c r="I5">
        <v>96.696249699918496</v>
      </c>
      <c r="J5">
        <v>96.696249699918496</v>
      </c>
      <c r="K5">
        <v>96.696249699918496</v>
      </c>
      <c r="L5" t="s">
        <v>29</v>
      </c>
      <c r="M5">
        <v>4.7818775002378899</v>
      </c>
      <c r="N5">
        <v>102.19644667988101</v>
      </c>
      <c r="O5">
        <v>102.558509599883</v>
      </c>
      <c r="P5">
        <v>102.558509599883</v>
      </c>
      <c r="Q5">
        <v>102.558509599883</v>
      </c>
      <c r="R5">
        <v>102.558509599883</v>
      </c>
      <c r="S5">
        <v>10</v>
      </c>
      <c r="T5">
        <v>4</v>
      </c>
      <c r="U5" t="s">
        <v>40</v>
      </c>
      <c r="V5" t="s">
        <v>41</v>
      </c>
      <c r="W5">
        <v>215968</v>
      </c>
      <c r="X5">
        <v>1</v>
      </c>
      <c r="Y5" t="s">
        <v>32</v>
      </c>
      <c r="Z5" t="s">
        <v>33</v>
      </c>
      <c r="AA5" t="s">
        <v>34</v>
      </c>
      <c r="AB5">
        <v>60.013707095343101</v>
      </c>
    </row>
    <row r="6" spans="1:28" x14ac:dyDescent="0.3">
      <c r="A6">
        <v>0.1</v>
      </c>
      <c r="B6">
        <v>400</v>
      </c>
      <c r="C6" t="s">
        <v>39</v>
      </c>
      <c r="D6">
        <v>0</v>
      </c>
      <c r="E6">
        <v>4</v>
      </c>
      <c r="F6">
        <v>4</v>
      </c>
      <c r="G6">
        <v>0</v>
      </c>
      <c r="H6">
        <v>111.645993700018</v>
      </c>
      <c r="I6">
        <v>112.64665769995101</v>
      </c>
      <c r="J6">
        <v>112.64665769995101</v>
      </c>
      <c r="K6">
        <v>112.64665769995101</v>
      </c>
      <c r="L6" t="s">
        <v>29</v>
      </c>
      <c r="M6">
        <v>1.96455130004324</v>
      </c>
      <c r="N6">
        <v>114.729819580097</v>
      </c>
      <c r="P6">
        <v>115.030212000012</v>
      </c>
      <c r="Q6">
        <v>115.030212000012</v>
      </c>
      <c r="R6">
        <v>115.030212000012</v>
      </c>
      <c r="S6">
        <v>10</v>
      </c>
      <c r="T6">
        <v>5</v>
      </c>
      <c r="U6" t="s">
        <v>42</v>
      </c>
      <c r="V6" t="s">
        <v>43</v>
      </c>
      <c r="W6">
        <v>215968</v>
      </c>
      <c r="X6">
        <v>1</v>
      </c>
      <c r="Y6" t="s">
        <v>32</v>
      </c>
      <c r="Z6" t="s">
        <v>33</v>
      </c>
      <c r="AA6" t="s">
        <v>34</v>
      </c>
      <c r="AB6">
        <v>60.013707095343101</v>
      </c>
    </row>
    <row r="7" spans="1:28" x14ac:dyDescent="0.3">
      <c r="A7">
        <v>0.7</v>
      </c>
      <c r="B7">
        <v>1000</v>
      </c>
      <c r="C7" t="s">
        <v>28</v>
      </c>
      <c r="D7">
        <v>0</v>
      </c>
      <c r="E7">
        <v>5</v>
      </c>
      <c r="F7">
        <v>5</v>
      </c>
      <c r="G7">
        <v>8</v>
      </c>
      <c r="H7">
        <v>119.462939499877</v>
      </c>
      <c r="I7">
        <v>120.46324539999399</v>
      </c>
      <c r="J7">
        <v>120.46324539999399</v>
      </c>
      <c r="K7">
        <v>120.46324539999399</v>
      </c>
      <c r="L7" t="s">
        <v>29</v>
      </c>
      <c r="M7">
        <v>0.83295399998314601</v>
      </c>
      <c r="N7">
        <v>122.013189080054</v>
      </c>
      <c r="P7">
        <v>122.31365170003799</v>
      </c>
      <c r="Q7">
        <v>122.31365170003799</v>
      </c>
      <c r="R7">
        <v>122.31365170003799</v>
      </c>
      <c r="S7">
        <v>50</v>
      </c>
      <c r="T7">
        <v>6</v>
      </c>
      <c r="U7" t="s">
        <v>44</v>
      </c>
      <c r="V7" t="s">
        <v>45</v>
      </c>
      <c r="W7">
        <v>215968</v>
      </c>
      <c r="X7">
        <v>1</v>
      </c>
      <c r="Y7" t="s">
        <v>32</v>
      </c>
      <c r="Z7" t="s">
        <v>33</v>
      </c>
      <c r="AA7" t="s">
        <v>34</v>
      </c>
      <c r="AB7">
        <v>60.013707095343101</v>
      </c>
    </row>
    <row r="8" spans="1:28" x14ac:dyDescent="0.3">
      <c r="A8">
        <v>0.4</v>
      </c>
      <c r="B8">
        <v>400</v>
      </c>
      <c r="C8" t="s">
        <v>39</v>
      </c>
      <c r="D8">
        <v>0</v>
      </c>
      <c r="E8">
        <v>6</v>
      </c>
      <c r="F8">
        <v>6</v>
      </c>
      <c r="G8">
        <v>1</v>
      </c>
      <c r="H8">
        <v>126.779438300058</v>
      </c>
      <c r="I8">
        <v>127.779823699966</v>
      </c>
      <c r="J8">
        <v>127.779823699966</v>
      </c>
      <c r="K8">
        <v>127.779823699966</v>
      </c>
      <c r="L8" t="s">
        <v>29</v>
      </c>
      <c r="M8">
        <v>6.1531125002074898</v>
      </c>
      <c r="N8">
        <v>134.363235480035</v>
      </c>
      <c r="P8">
        <v>134.664025899954</v>
      </c>
      <c r="Q8">
        <v>134.664025899954</v>
      </c>
      <c r="R8">
        <v>134.664025899954</v>
      </c>
      <c r="S8">
        <v>10</v>
      </c>
      <c r="T8">
        <v>7</v>
      </c>
      <c r="U8" t="s">
        <v>46</v>
      </c>
      <c r="V8" t="s">
        <v>47</v>
      </c>
      <c r="W8">
        <v>215968</v>
      </c>
      <c r="X8">
        <v>1</v>
      </c>
      <c r="Y8" t="s">
        <v>32</v>
      </c>
      <c r="Z8" t="s">
        <v>33</v>
      </c>
      <c r="AA8" t="s">
        <v>34</v>
      </c>
      <c r="AB8">
        <v>60.013707095343101</v>
      </c>
    </row>
    <row r="9" spans="1:28" x14ac:dyDescent="0.3">
      <c r="A9">
        <v>0.4</v>
      </c>
      <c r="B9">
        <v>1000</v>
      </c>
      <c r="C9" t="s">
        <v>28</v>
      </c>
      <c r="D9">
        <v>0</v>
      </c>
      <c r="E9">
        <v>7</v>
      </c>
      <c r="F9">
        <v>7</v>
      </c>
      <c r="G9">
        <v>4</v>
      </c>
      <c r="H9">
        <v>139.896895800018</v>
      </c>
      <c r="I9">
        <v>140.89688419993001</v>
      </c>
      <c r="J9">
        <v>140.89688419993001</v>
      </c>
      <c r="K9">
        <v>140.89688419993001</v>
      </c>
      <c r="L9" t="s">
        <v>29</v>
      </c>
      <c r="M9">
        <v>0.87204000027850204</v>
      </c>
      <c r="N9">
        <v>142.19667007995301</v>
      </c>
      <c r="P9">
        <v>142.49683730001499</v>
      </c>
      <c r="Q9">
        <v>142.49683730001499</v>
      </c>
      <c r="R9">
        <v>142.49683730001499</v>
      </c>
      <c r="S9">
        <v>10</v>
      </c>
      <c r="T9">
        <v>8</v>
      </c>
      <c r="U9" t="s">
        <v>48</v>
      </c>
      <c r="V9" t="s">
        <v>49</v>
      </c>
      <c r="W9">
        <v>215968</v>
      </c>
      <c r="X9">
        <v>1</v>
      </c>
      <c r="Y9" t="s">
        <v>32</v>
      </c>
      <c r="Z9" t="s">
        <v>33</v>
      </c>
      <c r="AA9" t="s">
        <v>34</v>
      </c>
      <c r="AB9">
        <v>60.013707095343101</v>
      </c>
    </row>
    <row r="10" spans="1:28" x14ac:dyDescent="0.3">
      <c r="A10">
        <v>0.7</v>
      </c>
      <c r="B10">
        <v>1000</v>
      </c>
      <c r="C10" t="s">
        <v>28</v>
      </c>
      <c r="D10">
        <v>0</v>
      </c>
      <c r="E10">
        <v>8</v>
      </c>
      <c r="F10">
        <v>8</v>
      </c>
      <c r="G10">
        <v>11</v>
      </c>
      <c r="H10">
        <v>146.496876199962</v>
      </c>
      <c r="I10">
        <v>147.496809700038</v>
      </c>
      <c r="J10">
        <v>147.496809700038</v>
      </c>
      <c r="K10">
        <v>147.496809700038</v>
      </c>
      <c r="L10" t="s">
        <v>29</v>
      </c>
      <c r="M10">
        <v>3.1266711000353098</v>
      </c>
      <c r="N10">
        <v>151.34677977987999</v>
      </c>
      <c r="O10">
        <v>151.64712399989301</v>
      </c>
      <c r="P10">
        <v>151.64712399989301</v>
      </c>
      <c r="Q10">
        <v>151.64712399989301</v>
      </c>
      <c r="R10">
        <v>151.64712399989301</v>
      </c>
      <c r="S10">
        <v>50</v>
      </c>
      <c r="T10">
        <v>9</v>
      </c>
      <c r="U10" t="s">
        <v>50</v>
      </c>
      <c r="V10" t="s">
        <v>51</v>
      </c>
      <c r="W10">
        <v>215968</v>
      </c>
      <c r="X10">
        <v>1</v>
      </c>
      <c r="Y10" t="s">
        <v>32</v>
      </c>
      <c r="Z10" t="s">
        <v>33</v>
      </c>
      <c r="AA10" t="s">
        <v>34</v>
      </c>
      <c r="AB10">
        <v>60.013707095343101</v>
      </c>
    </row>
    <row r="11" spans="1:28" x14ac:dyDescent="0.3">
      <c r="A11">
        <v>0.4</v>
      </c>
      <c r="B11">
        <v>1000</v>
      </c>
      <c r="C11" t="s">
        <v>28</v>
      </c>
      <c r="D11">
        <v>0</v>
      </c>
      <c r="E11">
        <v>9</v>
      </c>
      <c r="F11">
        <v>9</v>
      </c>
      <c r="G11">
        <v>10</v>
      </c>
      <c r="H11">
        <v>155.27992470003599</v>
      </c>
      <c r="I11">
        <v>156.28028069995301</v>
      </c>
      <c r="J11">
        <v>156.28028069995301</v>
      </c>
      <c r="K11">
        <v>156.28028069995301</v>
      </c>
      <c r="L11" t="s">
        <v>29</v>
      </c>
      <c r="M11">
        <v>2.2846666001714699</v>
      </c>
      <c r="N11">
        <v>158.99668507988099</v>
      </c>
      <c r="O11">
        <v>159.29713300010101</v>
      </c>
      <c r="P11">
        <v>159.29713300010101</v>
      </c>
      <c r="Q11">
        <v>159.29713300010101</v>
      </c>
      <c r="R11">
        <v>159.29713300010101</v>
      </c>
      <c r="S11">
        <v>50</v>
      </c>
      <c r="T11">
        <v>10</v>
      </c>
      <c r="U11" t="s">
        <v>52</v>
      </c>
      <c r="V11" t="s">
        <v>53</v>
      </c>
      <c r="W11">
        <v>215968</v>
      </c>
      <c r="X11">
        <v>1</v>
      </c>
      <c r="Y11" t="s">
        <v>32</v>
      </c>
      <c r="Z11" t="s">
        <v>33</v>
      </c>
      <c r="AA11" t="s">
        <v>34</v>
      </c>
      <c r="AB11">
        <v>60.013707095343101</v>
      </c>
    </row>
    <row r="12" spans="1:28" x14ac:dyDescent="0.3">
      <c r="A12">
        <v>0.1</v>
      </c>
      <c r="B12">
        <v>1000</v>
      </c>
      <c r="C12" t="s">
        <v>28</v>
      </c>
      <c r="D12">
        <v>0</v>
      </c>
      <c r="E12">
        <v>10</v>
      </c>
      <c r="F12">
        <v>10</v>
      </c>
      <c r="G12">
        <v>6</v>
      </c>
      <c r="H12">
        <v>162.73028480005399</v>
      </c>
      <c r="I12">
        <v>163.73034109990101</v>
      </c>
      <c r="J12">
        <v>163.73034109990101</v>
      </c>
      <c r="K12">
        <v>163.73034109990101</v>
      </c>
      <c r="L12" t="s">
        <v>29</v>
      </c>
      <c r="M12">
        <v>0.39922020025551302</v>
      </c>
      <c r="N12">
        <v>164.24693687993499</v>
      </c>
      <c r="O12">
        <v>164.54713959991901</v>
      </c>
      <c r="P12">
        <v>164.54713959991901</v>
      </c>
      <c r="Q12">
        <v>164.54713959991901</v>
      </c>
      <c r="R12">
        <v>164.54713959991901</v>
      </c>
      <c r="S12">
        <v>10</v>
      </c>
      <c r="T12">
        <v>11</v>
      </c>
      <c r="U12" t="s">
        <v>54</v>
      </c>
      <c r="V12" t="s">
        <v>55</v>
      </c>
      <c r="W12">
        <v>215968</v>
      </c>
      <c r="X12">
        <v>1</v>
      </c>
      <c r="Y12" t="s">
        <v>32</v>
      </c>
      <c r="Z12" t="s">
        <v>33</v>
      </c>
      <c r="AA12" t="s">
        <v>34</v>
      </c>
      <c r="AB12">
        <v>60.013707095343101</v>
      </c>
    </row>
    <row r="13" spans="1:28" x14ac:dyDescent="0.3">
      <c r="A13">
        <v>0.7</v>
      </c>
      <c r="B13">
        <v>1000</v>
      </c>
      <c r="C13" t="s">
        <v>28</v>
      </c>
      <c r="D13">
        <v>0</v>
      </c>
      <c r="E13">
        <v>11</v>
      </c>
      <c r="F13">
        <v>11</v>
      </c>
      <c r="G13">
        <v>5</v>
      </c>
      <c r="H13">
        <v>171.79732530005199</v>
      </c>
      <c r="I13">
        <v>172.79776620003301</v>
      </c>
      <c r="J13">
        <v>172.79776620003301</v>
      </c>
      <c r="K13">
        <v>172.79776620003301</v>
      </c>
      <c r="L13" t="s">
        <v>29</v>
      </c>
      <c r="M13">
        <v>2.3850448001176101</v>
      </c>
      <c r="N13">
        <v>175.91378328006201</v>
      </c>
      <c r="P13">
        <v>176.21462050010399</v>
      </c>
      <c r="Q13">
        <v>176.21462050010399</v>
      </c>
      <c r="R13">
        <v>176.21462050010399</v>
      </c>
      <c r="S13">
        <v>50</v>
      </c>
      <c r="T13">
        <v>12</v>
      </c>
      <c r="U13" t="s">
        <v>56</v>
      </c>
      <c r="V13" t="s">
        <v>57</v>
      </c>
      <c r="W13">
        <v>215968</v>
      </c>
      <c r="X13">
        <v>1</v>
      </c>
      <c r="Y13" t="s">
        <v>32</v>
      </c>
      <c r="Z13" t="s">
        <v>33</v>
      </c>
      <c r="AA13" t="s">
        <v>34</v>
      </c>
      <c r="AB13">
        <v>60.013707095343101</v>
      </c>
    </row>
    <row r="14" spans="1:28" x14ac:dyDescent="0.3">
      <c r="A14">
        <v>0.4</v>
      </c>
      <c r="B14">
        <v>400</v>
      </c>
      <c r="C14" t="s">
        <v>39</v>
      </c>
      <c r="D14">
        <v>1</v>
      </c>
      <c r="E14">
        <v>0</v>
      </c>
      <c r="F14">
        <v>12</v>
      </c>
      <c r="G14">
        <v>1</v>
      </c>
      <c r="H14">
        <v>181.68038940010501</v>
      </c>
      <c r="I14">
        <v>182.680528600001</v>
      </c>
      <c r="J14">
        <v>182.680528600001</v>
      </c>
      <c r="K14">
        <v>182.680528600001</v>
      </c>
      <c r="L14" t="s">
        <v>29</v>
      </c>
      <c r="M14">
        <v>1.66331680002622</v>
      </c>
      <c r="N14">
        <v>184.76394607999799</v>
      </c>
      <c r="O14">
        <v>185.06450169999101</v>
      </c>
      <c r="P14">
        <v>185.06450169999101</v>
      </c>
      <c r="Q14">
        <v>185.06450169999101</v>
      </c>
      <c r="R14">
        <v>185.06450169999101</v>
      </c>
      <c r="S14">
        <v>60</v>
      </c>
      <c r="T14">
        <v>13</v>
      </c>
      <c r="U14" t="s">
        <v>58</v>
      </c>
      <c r="V14" t="s">
        <v>59</v>
      </c>
      <c r="W14">
        <v>215968</v>
      </c>
      <c r="X14">
        <v>1</v>
      </c>
      <c r="Y14" t="s">
        <v>32</v>
      </c>
      <c r="Z14" t="s">
        <v>33</v>
      </c>
      <c r="AA14" t="s">
        <v>34</v>
      </c>
      <c r="AB14">
        <v>60.013707095343101</v>
      </c>
    </row>
    <row r="15" spans="1:28" x14ac:dyDescent="0.3">
      <c r="A15">
        <v>0.1</v>
      </c>
      <c r="B15">
        <v>400</v>
      </c>
      <c r="C15" t="s">
        <v>39</v>
      </c>
      <c r="D15">
        <v>1</v>
      </c>
      <c r="E15">
        <v>1</v>
      </c>
      <c r="F15">
        <v>13</v>
      </c>
      <c r="G15">
        <v>0</v>
      </c>
      <c r="H15">
        <v>188.613652999978</v>
      </c>
      <c r="I15">
        <v>189.61388610000699</v>
      </c>
      <c r="J15">
        <v>189.61388610000699</v>
      </c>
      <c r="K15">
        <v>189.61388610000699</v>
      </c>
      <c r="L15" t="s">
        <v>29</v>
      </c>
      <c r="M15">
        <v>3.7813887000083901</v>
      </c>
      <c r="N15">
        <v>193.513936279923</v>
      </c>
      <c r="O15">
        <v>193.81436299998299</v>
      </c>
      <c r="P15">
        <v>193.81436299998299</v>
      </c>
      <c r="Q15">
        <v>193.81436299998299</v>
      </c>
      <c r="R15">
        <v>193.81436299998299</v>
      </c>
      <c r="S15">
        <v>60</v>
      </c>
      <c r="T15">
        <v>14</v>
      </c>
      <c r="U15" t="s">
        <v>60</v>
      </c>
      <c r="V15" t="s">
        <v>61</v>
      </c>
      <c r="W15">
        <v>215968</v>
      </c>
      <c r="X15">
        <v>1</v>
      </c>
      <c r="Y15" t="s">
        <v>32</v>
      </c>
      <c r="Z15" t="s">
        <v>33</v>
      </c>
      <c r="AA15" t="s">
        <v>34</v>
      </c>
      <c r="AB15">
        <v>60.013707095343101</v>
      </c>
    </row>
    <row r="16" spans="1:28" x14ac:dyDescent="0.3">
      <c r="A16">
        <v>0.7</v>
      </c>
      <c r="B16">
        <v>400</v>
      </c>
      <c r="C16" t="s">
        <v>39</v>
      </c>
      <c r="D16">
        <v>1</v>
      </c>
      <c r="E16">
        <v>2</v>
      </c>
      <c r="F16">
        <v>14</v>
      </c>
      <c r="G16">
        <v>2</v>
      </c>
      <c r="H16">
        <v>197.880574400071</v>
      </c>
      <c r="I16">
        <v>198.880781000014</v>
      </c>
      <c r="J16">
        <v>198.880781000014</v>
      </c>
      <c r="K16">
        <v>198.880781000014</v>
      </c>
      <c r="L16" t="s">
        <v>29</v>
      </c>
      <c r="M16">
        <v>1.69116399995982</v>
      </c>
      <c r="N16">
        <v>201.297744579962</v>
      </c>
      <c r="O16">
        <v>201.597942899912</v>
      </c>
      <c r="P16">
        <v>201.597942899912</v>
      </c>
      <c r="Q16">
        <v>201.597942899912</v>
      </c>
      <c r="R16">
        <v>201.597942899912</v>
      </c>
      <c r="S16">
        <v>10</v>
      </c>
      <c r="T16">
        <v>15</v>
      </c>
      <c r="U16" t="s">
        <v>62</v>
      </c>
      <c r="V16" t="s">
        <v>63</v>
      </c>
      <c r="W16">
        <v>215968</v>
      </c>
      <c r="X16">
        <v>1</v>
      </c>
      <c r="Y16" t="s">
        <v>32</v>
      </c>
      <c r="Z16" t="s">
        <v>33</v>
      </c>
      <c r="AA16" t="s">
        <v>34</v>
      </c>
      <c r="AB16">
        <v>60.013707095343101</v>
      </c>
    </row>
    <row r="17" spans="1:28" x14ac:dyDescent="0.3">
      <c r="A17">
        <v>0.4</v>
      </c>
      <c r="B17">
        <v>1000</v>
      </c>
      <c r="C17" t="s">
        <v>28</v>
      </c>
      <c r="D17">
        <v>1</v>
      </c>
      <c r="E17">
        <v>3</v>
      </c>
      <c r="F17">
        <v>15</v>
      </c>
      <c r="G17">
        <v>7</v>
      </c>
      <c r="H17">
        <v>205.29744410002601</v>
      </c>
      <c r="I17">
        <v>206.297495600068</v>
      </c>
      <c r="J17">
        <v>206.297495600068</v>
      </c>
      <c r="K17">
        <v>206.297495600068</v>
      </c>
      <c r="L17" t="s">
        <v>29</v>
      </c>
      <c r="M17">
        <v>0.51823390019126203</v>
      </c>
      <c r="N17">
        <v>207.247352379956</v>
      </c>
      <c r="O17">
        <v>207.54771519987801</v>
      </c>
      <c r="P17">
        <v>207.54771519987801</v>
      </c>
      <c r="Q17">
        <v>207.54771519987801</v>
      </c>
      <c r="R17">
        <v>207.54771519987801</v>
      </c>
      <c r="S17">
        <v>10</v>
      </c>
      <c r="T17">
        <v>16</v>
      </c>
      <c r="U17" t="s">
        <v>64</v>
      </c>
      <c r="V17" t="s">
        <v>65</v>
      </c>
      <c r="W17">
        <v>215968</v>
      </c>
      <c r="X17">
        <v>1</v>
      </c>
      <c r="Y17" t="s">
        <v>32</v>
      </c>
      <c r="Z17" t="s">
        <v>33</v>
      </c>
      <c r="AA17" t="s">
        <v>34</v>
      </c>
      <c r="AB17">
        <v>60.013707095343101</v>
      </c>
    </row>
    <row r="18" spans="1:28" x14ac:dyDescent="0.3">
      <c r="A18">
        <v>0.4</v>
      </c>
      <c r="B18">
        <v>1000</v>
      </c>
      <c r="C18" t="s">
        <v>28</v>
      </c>
      <c r="D18">
        <v>1</v>
      </c>
      <c r="E18">
        <v>4</v>
      </c>
      <c r="F18">
        <v>16</v>
      </c>
      <c r="G18">
        <v>4</v>
      </c>
      <c r="H18">
        <v>212.780542900087</v>
      </c>
      <c r="I18">
        <v>213.780808700015</v>
      </c>
      <c r="J18">
        <v>213.780808700015</v>
      </c>
      <c r="K18">
        <v>213.780808700015</v>
      </c>
      <c r="L18" t="s">
        <v>29</v>
      </c>
      <c r="M18">
        <v>4.3285070999991104</v>
      </c>
      <c r="N18">
        <v>218.53079397988</v>
      </c>
      <c r="O18">
        <v>218.83092430001099</v>
      </c>
      <c r="P18">
        <v>218.83092430001099</v>
      </c>
      <c r="Q18">
        <v>218.83092430001099</v>
      </c>
      <c r="R18">
        <v>218.83092430001099</v>
      </c>
      <c r="S18">
        <v>1</v>
      </c>
      <c r="T18">
        <v>17</v>
      </c>
      <c r="U18" t="s">
        <v>66</v>
      </c>
      <c r="V18" t="s">
        <v>67</v>
      </c>
      <c r="W18">
        <v>215968</v>
      </c>
      <c r="X18">
        <v>1</v>
      </c>
      <c r="Y18" t="s">
        <v>32</v>
      </c>
      <c r="Z18" t="s">
        <v>33</v>
      </c>
      <c r="AA18" t="s">
        <v>34</v>
      </c>
      <c r="AB18">
        <v>60.013707095343101</v>
      </c>
    </row>
    <row r="19" spans="1:28" x14ac:dyDescent="0.3">
      <c r="A19">
        <v>0.7</v>
      </c>
      <c r="B19">
        <v>1000</v>
      </c>
      <c r="C19" t="s">
        <v>28</v>
      </c>
      <c r="D19">
        <v>1</v>
      </c>
      <c r="E19">
        <v>5</v>
      </c>
      <c r="F19">
        <v>17</v>
      </c>
      <c r="G19">
        <v>8</v>
      </c>
      <c r="H19">
        <v>222.34754740004399</v>
      </c>
      <c r="I19">
        <v>223.34763079998001</v>
      </c>
      <c r="J19">
        <v>223.34763079998001</v>
      </c>
      <c r="K19">
        <v>223.34763079998001</v>
      </c>
      <c r="L19" t="s">
        <v>29</v>
      </c>
      <c r="M19">
        <v>3.2621401001233599</v>
      </c>
      <c r="N19">
        <v>227.33100157987701</v>
      </c>
      <c r="P19">
        <v>227.63113970006799</v>
      </c>
      <c r="Q19">
        <v>227.63113970006799</v>
      </c>
      <c r="R19">
        <v>227.63113970006799</v>
      </c>
      <c r="S19">
        <v>10</v>
      </c>
      <c r="T19">
        <v>18</v>
      </c>
      <c r="U19" t="s">
        <v>68</v>
      </c>
      <c r="V19" t="s">
        <v>69</v>
      </c>
      <c r="W19">
        <v>215968</v>
      </c>
      <c r="X19">
        <v>1</v>
      </c>
      <c r="Y19" t="s">
        <v>32</v>
      </c>
      <c r="Z19" t="s">
        <v>33</v>
      </c>
      <c r="AA19" t="s">
        <v>34</v>
      </c>
      <c r="AB19">
        <v>60.013707095343101</v>
      </c>
    </row>
    <row r="20" spans="1:28" x14ac:dyDescent="0.3">
      <c r="A20">
        <v>0.1</v>
      </c>
      <c r="B20">
        <v>1000</v>
      </c>
      <c r="C20" t="s">
        <v>28</v>
      </c>
      <c r="D20">
        <v>1</v>
      </c>
      <c r="E20">
        <v>6</v>
      </c>
      <c r="F20">
        <v>18</v>
      </c>
      <c r="G20">
        <v>9</v>
      </c>
      <c r="H20">
        <v>229.96396919991801</v>
      </c>
      <c r="I20">
        <v>230.96442839992201</v>
      </c>
      <c r="J20">
        <v>230.96442839992201</v>
      </c>
      <c r="K20">
        <v>230.96442839992201</v>
      </c>
      <c r="L20" t="s">
        <v>29</v>
      </c>
      <c r="M20">
        <v>5.3273041001520998</v>
      </c>
      <c r="N20">
        <v>236.41435977991199</v>
      </c>
      <c r="O20">
        <v>236.715357600012</v>
      </c>
      <c r="P20">
        <v>236.715357600012</v>
      </c>
      <c r="Q20">
        <v>236.715357600012</v>
      </c>
      <c r="R20">
        <v>236.715357600012</v>
      </c>
      <c r="S20">
        <v>1</v>
      </c>
      <c r="T20">
        <v>19</v>
      </c>
      <c r="U20" t="s">
        <v>70</v>
      </c>
      <c r="V20" t="s">
        <v>71</v>
      </c>
      <c r="W20">
        <v>215968</v>
      </c>
      <c r="X20">
        <v>1</v>
      </c>
      <c r="Y20" t="s">
        <v>32</v>
      </c>
      <c r="Z20" t="s">
        <v>33</v>
      </c>
      <c r="AA20" t="s">
        <v>34</v>
      </c>
      <c r="AB20">
        <v>60.013707095343101</v>
      </c>
    </row>
    <row r="21" spans="1:28" x14ac:dyDescent="0.3">
      <c r="A21">
        <v>0.7</v>
      </c>
      <c r="B21">
        <v>1000</v>
      </c>
      <c r="C21" t="s">
        <v>28</v>
      </c>
      <c r="D21">
        <v>1</v>
      </c>
      <c r="E21">
        <v>7</v>
      </c>
      <c r="F21">
        <v>19</v>
      </c>
      <c r="G21">
        <v>5</v>
      </c>
      <c r="H21">
        <v>240.21444640005899</v>
      </c>
      <c r="I21">
        <v>241.21450209990101</v>
      </c>
      <c r="J21">
        <v>241.21450209990101</v>
      </c>
      <c r="K21">
        <v>241.21450209990101</v>
      </c>
      <c r="L21" t="s">
        <v>29</v>
      </c>
      <c r="M21">
        <v>2.1902475000824699</v>
      </c>
      <c r="N21">
        <v>244.131116979871</v>
      </c>
      <c r="O21">
        <v>244.431862999917</v>
      </c>
      <c r="P21">
        <v>244.431862999917</v>
      </c>
      <c r="Q21">
        <v>244.431862999917</v>
      </c>
      <c r="R21">
        <v>244.431862999917</v>
      </c>
      <c r="S21">
        <v>3</v>
      </c>
      <c r="T21">
        <v>20</v>
      </c>
      <c r="U21" t="s">
        <v>72</v>
      </c>
      <c r="V21" t="s">
        <v>73</v>
      </c>
      <c r="W21">
        <v>215968</v>
      </c>
      <c r="X21">
        <v>1</v>
      </c>
      <c r="Y21" t="s">
        <v>32</v>
      </c>
      <c r="Z21" t="s">
        <v>33</v>
      </c>
      <c r="AA21" t="s">
        <v>34</v>
      </c>
      <c r="AB21">
        <v>60.013707095343101</v>
      </c>
    </row>
    <row r="22" spans="1:28" x14ac:dyDescent="0.3">
      <c r="A22">
        <v>0.4</v>
      </c>
      <c r="B22">
        <v>1000</v>
      </c>
      <c r="C22" t="s">
        <v>28</v>
      </c>
      <c r="D22">
        <v>1</v>
      </c>
      <c r="E22">
        <v>8</v>
      </c>
      <c r="F22">
        <v>20</v>
      </c>
      <c r="G22">
        <v>10</v>
      </c>
      <c r="H22">
        <v>252.39796079997899</v>
      </c>
      <c r="I22">
        <v>253.39778340002499</v>
      </c>
      <c r="J22">
        <v>253.39778340002499</v>
      </c>
      <c r="K22">
        <v>253.39778340002499</v>
      </c>
      <c r="L22" t="s">
        <v>29</v>
      </c>
      <c r="M22">
        <v>1.2558363999705699</v>
      </c>
      <c r="N22">
        <v>255.081210679956</v>
      </c>
      <c r="P22">
        <v>255.38206980004901</v>
      </c>
      <c r="Q22">
        <v>255.38206980004901</v>
      </c>
      <c r="R22">
        <v>255.38206980004901</v>
      </c>
      <c r="S22">
        <v>10</v>
      </c>
      <c r="T22">
        <v>21</v>
      </c>
      <c r="U22" t="s">
        <v>74</v>
      </c>
      <c r="V22" t="s">
        <v>75</v>
      </c>
      <c r="W22">
        <v>215968</v>
      </c>
      <c r="X22">
        <v>1</v>
      </c>
      <c r="Y22" t="s">
        <v>32</v>
      </c>
      <c r="Z22" t="s">
        <v>33</v>
      </c>
      <c r="AA22" t="s">
        <v>34</v>
      </c>
      <c r="AB22">
        <v>60.013707095343101</v>
      </c>
    </row>
    <row r="23" spans="1:28" x14ac:dyDescent="0.3">
      <c r="A23">
        <v>0.7</v>
      </c>
      <c r="B23">
        <v>1000</v>
      </c>
      <c r="C23" t="s">
        <v>28</v>
      </c>
      <c r="D23">
        <v>1</v>
      </c>
      <c r="E23">
        <v>9</v>
      </c>
      <c r="F23">
        <v>21</v>
      </c>
      <c r="G23">
        <v>11</v>
      </c>
      <c r="H23">
        <v>258.14777550008102</v>
      </c>
      <c r="I23">
        <v>259.147862100042</v>
      </c>
      <c r="J23">
        <v>259.147862100042</v>
      </c>
      <c r="K23">
        <v>259.147862100042</v>
      </c>
      <c r="L23" t="s">
        <v>29</v>
      </c>
      <c r="M23">
        <v>3.2199633000418499</v>
      </c>
      <c r="N23">
        <v>263.09803997992998</v>
      </c>
      <c r="P23">
        <v>263.398282499983</v>
      </c>
      <c r="Q23">
        <v>263.398282499983</v>
      </c>
      <c r="R23">
        <v>263.398282499983</v>
      </c>
      <c r="S23">
        <v>1</v>
      </c>
      <c r="T23">
        <v>22</v>
      </c>
      <c r="U23" t="s">
        <v>76</v>
      </c>
      <c r="V23" t="s">
        <v>77</v>
      </c>
      <c r="W23">
        <v>215968</v>
      </c>
      <c r="X23">
        <v>1</v>
      </c>
      <c r="Y23" t="s">
        <v>32</v>
      </c>
      <c r="Z23" t="s">
        <v>33</v>
      </c>
      <c r="AA23" t="s">
        <v>34</v>
      </c>
      <c r="AB23">
        <v>60.013707095343101</v>
      </c>
    </row>
    <row r="24" spans="1:28" x14ac:dyDescent="0.3">
      <c r="A24">
        <v>0.1</v>
      </c>
      <c r="B24">
        <v>1000</v>
      </c>
      <c r="C24" t="s">
        <v>28</v>
      </c>
      <c r="D24">
        <v>1</v>
      </c>
      <c r="E24">
        <v>10</v>
      </c>
      <c r="F24">
        <v>22</v>
      </c>
      <c r="G24">
        <v>6</v>
      </c>
      <c r="H24">
        <v>267.01523780007801</v>
      </c>
      <c r="I24">
        <v>268.01494930009301</v>
      </c>
      <c r="J24">
        <v>268.01494930009301</v>
      </c>
      <c r="K24">
        <v>268.01494930009301</v>
      </c>
      <c r="L24" t="s">
        <v>29</v>
      </c>
      <c r="M24">
        <v>1.2239985002670399</v>
      </c>
      <c r="N24">
        <v>269.36463577987098</v>
      </c>
      <c r="P24">
        <v>269.66538550006197</v>
      </c>
      <c r="Q24">
        <v>269.66538550006197</v>
      </c>
      <c r="R24">
        <v>269.66538550006197</v>
      </c>
      <c r="S24">
        <v>1</v>
      </c>
      <c r="T24">
        <v>23</v>
      </c>
      <c r="U24" t="s">
        <v>78</v>
      </c>
      <c r="V24" t="s">
        <v>79</v>
      </c>
      <c r="W24">
        <v>215968</v>
      </c>
      <c r="X24">
        <v>1</v>
      </c>
      <c r="Y24" t="s">
        <v>32</v>
      </c>
      <c r="Z24" t="s">
        <v>33</v>
      </c>
      <c r="AA24" t="s">
        <v>34</v>
      </c>
      <c r="AB24">
        <v>60.013707095343101</v>
      </c>
    </row>
    <row r="25" spans="1:28" x14ac:dyDescent="0.3">
      <c r="A25">
        <v>0.1</v>
      </c>
      <c r="B25">
        <v>1000</v>
      </c>
      <c r="C25" t="s">
        <v>28</v>
      </c>
      <c r="D25">
        <v>1</v>
      </c>
      <c r="E25">
        <v>11</v>
      </c>
      <c r="F25">
        <v>23</v>
      </c>
      <c r="G25">
        <v>3</v>
      </c>
      <c r="H25">
        <v>272.49783829995403</v>
      </c>
      <c r="I25">
        <v>273.49809070001299</v>
      </c>
      <c r="J25">
        <v>273.49809070001299</v>
      </c>
      <c r="K25">
        <v>273.49809070001299</v>
      </c>
      <c r="L25" t="s">
        <v>29</v>
      </c>
      <c r="M25">
        <v>2.7296161002013801</v>
      </c>
      <c r="N25">
        <v>276.34812107996498</v>
      </c>
      <c r="P25">
        <v>276.64847650006402</v>
      </c>
      <c r="Q25">
        <v>276.64847650006402</v>
      </c>
      <c r="R25">
        <v>276.64847650006402</v>
      </c>
      <c r="S25">
        <v>10</v>
      </c>
      <c r="T25">
        <v>24</v>
      </c>
      <c r="U25" t="s">
        <v>80</v>
      </c>
      <c r="V25" t="s">
        <v>81</v>
      </c>
      <c r="W25">
        <v>215968</v>
      </c>
      <c r="X25">
        <v>1</v>
      </c>
      <c r="Y25" t="s">
        <v>32</v>
      </c>
      <c r="Z25" t="s">
        <v>33</v>
      </c>
      <c r="AA25" t="s">
        <v>34</v>
      </c>
      <c r="AB25">
        <v>60.013707095343101</v>
      </c>
    </row>
    <row r="26" spans="1:28" x14ac:dyDescent="0.3">
      <c r="A26">
        <v>0.4</v>
      </c>
      <c r="B26">
        <v>1000</v>
      </c>
      <c r="C26" t="s">
        <v>28</v>
      </c>
      <c r="D26">
        <v>2</v>
      </c>
      <c r="E26">
        <v>0</v>
      </c>
      <c r="F26">
        <v>24</v>
      </c>
      <c r="G26">
        <v>7</v>
      </c>
      <c r="H26">
        <v>281.38154729991197</v>
      </c>
      <c r="I26">
        <v>282.38147410005303</v>
      </c>
      <c r="J26">
        <v>282.38147410005303</v>
      </c>
      <c r="K26">
        <v>282.38147410005303</v>
      </c>
      <c r="L26" t="s">
        <v>29</v>
      </c>
      <c r="M26">
        <v>3.5895351001527098</v>
      </c>
      <c r="N26">
        <v>286.39810397999798</v>
      </c>
      <c r="P26">
        <v>286.69859599997199</v>
      </c>
      <c r="Q26">
        <v>286.69859599997199</v>
      </c>
      <c r="R26">
        <v>286.69859599997199</v>
      </c>
      <c r="S26">
        <v>10</v>
      </c>
      <c r="T26">
        <v>25</v>
      </c>
      <c r="U26" t="s">
        <v>82</v>
      </c>
      <c r="V26" t="s">
        <v>83</v>
      </c>
      <c r="W26">
        <v>215968</v>
      </c>
      <c r="X26">
        <v>1</v>
      </c>
      <c r="Y26" t="s">
        <v>32</v>
      </c>
      <c r="Z26" t="s">
        <v>33</v>
      </c>
      <c r="AA26" t="s">
        <v>34</v>
      </c>
      <c r="AB26">
        <v>60.013707095343101</v>
      </c>
    </row>
    <row r="27" spans="1:28" x14ac:dyDescent="0.3">
      <c r="A27">
        <v>0.1</v>
      </c>
      <c r="B27">
        <v>400</v>
      </c>
      <c r="C27" t="s">
        <v>39</v>
      </c>
      <c r="D27">
        <v>2</v>
      </c>
      <c r="E27">
        <v>1</v>
      </c>
      <c r="F27">
        <v>25</v>
      </c>
      <c r="G27">
        <v>0</v>
      </c>
      <c r="H27">
        <v>290.06489400006802</v>
      </c>
      <c r="I27">
        <v>291.06490430002998</v>
      </c>
      <c r="J27">
        <v>291.06490430002998</v>
      </c>
      <c r="K27">
        <v>291.06490430002998</v>
      </c>
      <c r="L27" t="s">
        <v>29</v>
      </c>
      <c r="M27">
        <v>1.8692018999718101</v>
      </c>
      <c r="N27">
        <v>293.065104480017</v>
      </c>
      <c r="P27">
        <v>293.365107499994</v>
      </c>
      <c r="Q27">
        <v>293.365107499994</v>
      </c>
      <c r="R27">
        <v>293.365107499994</v>
      </c>
      <c r="S27">
        <v>1</v>
      </c>
      <c r="T27">
        <v>26</v>
      </c>
      <c r="U27" t="s">
        <v>84</v>
      </c>
      <c r="V27" t="s">
        <v>85</v>
      </c>
      <c r="W27">
        <v>215968</v>
      </c>
      <c r="X27">
        <v>1</v>
      </c>
      <c r="Y27" t="s">
        <v>32</v>
      </c>
      <c r="Z27" t="s">
        <v>33</v>
      </c>
      <c r="AA27" t="s">
        <v>34</v>
      </c>
      <c r="AB27">
        <v>60.013707095343101</v>
      </c>
    </row>
    <row r="28" spans="1:28" x14ac:dyDescent="0.3">
      <c r="A28">
        <v>0.7</v>
      </c>
      <c r="B28">
        <v>1000</v>
      </c>
      <c r="C28" t="s">
        <v>28</v>
      </c>
      <c r="D28">
        <v>2</v>
      </c>
      <c r="E28">
        <v>2</v>
      </c>
      <c r="F28">
        <v>26</v>
      </c>
      <c r="G28">
        <v>8</v>
      </c>
      <c r="H28">
        <v>296.11475589987799</v>
      </c>
      <c r="I28">
        <v>297.11523350002199</v>
      </c>
      <c r="J28">
        <v>297.11523350002199</v>
      </c>
      <c r="K28">
        <v>297.11523350002199</v>
      </c>
      <c r="L28" t="s">
        <v>29</v>
      </c>
      <c r="M28">
        <v>1.17623160011135</v>
      </c>
      <c r="N28">
        <v>299.014836779912</v>
      </c>
      <c r="P28">
        <v>299.315734700066</v>
      </c>
      <c r="Q28">
        <v>299.315734700066</v>
      </c>
      <c r="R28">
        <v>299.315734700066</v>
      </c>
      <c r="S28">
        <v>1</v>
      </c>
      <c r="T28">
        <v>27</v>
      </c>
      <c r="U28" t="s">
        <v>86</v>
      </c>
      <c r="V28" t="s">
        <v>87</v>
      </c>
      <c r="W28">
        <v>215968</v>
      </c>
      <c r="X28">
        <v>1</v>
      </c>
      <c r="Y28" t="s">
        <v>32</v>
      </c>
      <c r="Z28" t="s">
        <v>33</v>
      </c>
      <c r="AA28" t="s">
        <v>34</v>
      </c>
      <c r="AB28">
        <v>60.013707095343101</v>
      </c>
    </row>
    <row r="29" spans="1:28" x14ac:dyDescent="0.3">
      <c r="A29">
        <v>0.4</v>
      </c>
      <c r="B29">
        <v>1000</v>
      </c>
      <c r="C29" t="s">
        <v>28</v>
      </c>
      <c r="D29">
        <v>2</v>
      </c>
      <c r="E29">
        <v>3</v>
      </c>
      <c r="F29">
        <v>27</v>
      </c>
      <c r="G29">
        <v>10</v>
      </c>
      <c r="H29">
        <v>301.48141480004398</v>
      </c>
      <c r="I29">
        <v>302.48206690000302</v>
      </c>
      <c r="J29">
        <v>302.48206690000302</v>
      </c>
      <c r="K29">
        <v>302.48206690000302</v>
      </c>
      <c r="L29" t="s">
        <v>29</v>
      </c>
      <c r="M29">
        <v>3.5448055001907002</v>
      </c>
      <c r="N29">
        <v>306.448263180092</v>
      </c>
      <c r="P29">
        <v>306.74884929996898</v>
      </c>
      <c r="Q29">
        <v>306.74884929996898</v>
      </c>
      <c r="R29">
        <v>306.74884929996898</v>
      </c>
      <c r="S29">
        <v>1</v>
      </c>
      <c r="T29">
        <v>28</v>
      </c>
      <c r="U29" t="s">
        <v>88</v>
      </c>
      <c r="V29" t="s">
        <v>89</v>
      </c>
      <c r="W29">
        <v>215968</v>
      </c>
      <c r="X29">
        <v>1</v>
      </c>
      <c r="Y29" t="s">
        <v>32</v>
      </c>
      <c r="Z29" t="s">
        <v>33</v>
      </c>
      <c r="AA29" t="s">
        <v>34</v>
      </c>
      <c r="AB29">
        <v>60.013707095343101</v>
      </c>
    </row>
    <row r="30" spans="1:28" x14ac:dyDescent="0.3">
      <c r="A30">
        <v>0.1</v>
      </c>
      <c r="B30">
        <v>1000</v>
      </c>
      <c r="C30" t="s">
        <v>28</v>
      </c>
      <c r="D30">
        <v>2</v>
      </c>
      <c r="E30">
        <v>4</v>
      </c>
      <c r="F30">
        <v>28</v>
      </c>
      <c r="G30">
        <v>3</v>
      </c>
      <c r="H30">
        <v>311.83187119988702</v>
      </c>
      <c r="I30">
        <v>312.83184719993699</v>
      </c>
      <c r="J30">
        <v>312.83184719993699</v>
      </c>
      <c r="K30">
        <v>312.83184719993699</v>
      </c>
      <c r="L30" t="s">
        <v>29</v>
      </c>
      <c r="M30">
        <v>0.62287360010668602</v>
      </c>
      <c r="N30">
        <v>313.58211468008801</v>
      </c>
      <c r="P30">
        <v>313.88187299994701</v>
      </c>
      <c r="Q30">
        <v>313.88187299994701</v>
      </c>
      <c r="R30">
        <v>313.88187299994701</v>
      </c>
      <c r="S30">
        <v>1</v>
      </c>
      <c r="T30">
        <v>29</v>
      </c>
      <c r="U30" t="s">
        <v>90</v>
      </c>
      <c r="V30" t="s">
        <v>91</v>
      </c>
      <c r="W30">
        <v>215968</v>
      </c>
      <c r="X30">
        <v>1</v>
      </c>
      <c r="Y30" t="s">
        <v>32</v>
      </c>
      <c r="Z30" t="s">
        <v>33</v>
      </c>
      <c r="AA30" t="s">
        <v>34</v>
      </c>
      <c r="AB30">
        <v>60.013707095343101</v>
      </c>
    </row>
    <row r="31" spans="1:28" x14ac:dyDescent="0.3">
      <c r="A31">
        <v>0.7</v>
      </c>
      <c r="B31">
        <v>1000</v>
      </c>
      <c r="C31" t="s">
        <v>28</v>
      </c>
      <c r="D31">
        <v>2</v>
      </c>
      <c r="E31">
        <v>5</v>
      </c>
      <c r="F31">
        <v>29</v>
      </c>
      <c r="G31">
        <v>11</v>
      </c>
      <c r="H31">
        <v>315.99846819997703</v>
      </c>
      <c r="I31">
        <v>316.99869780009601</v>
      </c>
      <c r="J31">
        <v>316.99869780009601</v>
      </c>
      <c r="K31">
        <v>316.99869780009601</v>
      </c>
      <c r="L31" t="s">
        <v>29</v>
      </c>
      <c r="M31">
        <v>1.8389811001252301</v>
      </c>
      <c r="N31">
        <v>319.56510007998401</v>
      </c>
      <c r="P31">
        <v>319.86533809988703</v>
      </c>
      <c r="Q31">
        <v>319.86533809988703</v>
      </c>
      <c r="R31">
        <v>319.86533809988703</v>
      </c>
      <c r="S31">
        <v>1</v>
      </c>
      <c r="T31">
        <v>30</v>
      </c>
      <c r="U31" t="s">
        <v>92</v>
      </c>
      <c r="V31" t="s">
        <v>93</v>
      </c>
      <c r="W31">
        <v>215968</v>
      </c>
      <c r="X31">
        <v>1</v>
      </c>
      <c r="Y31" t="s">
        <v>32</v>
      </c>
      <c r="Z31" t="s">
        <v>33</v>
      </c>
      <c r="AA31" t="s">
        <v>34</v>
      </c>
      <c r="AB31">
        <v>60.013707095343101</v>
      </c>
    </row>
    <row r="32" spans="1:28" x14ac:dyDescent="0.3">
      <c r="A32">
        <v>0.1</v>
      </c>
      <c r="B32">
        <v>1000</v>
      </c>
      <c r="C32" t="s">
        <v>28</v>
      </c>
      <c r="D32">
        <v>2</v>
      </c>
      <c r="E32">
        <v>6</v>
      </c>
      <c r="F32">
        <v>30</v>
      </c>
      <c r="G32">
        <v>9</v>
      </c>
      <c r="H32">
        <v>323.49905189988198</v>
      </c>
      <c r="I32">
        <v>324.49887469992899</v>
      </c>
      <c r="J32">
        <v>324.49887469992899</v>
      </c>
      <c r="K32">
        <v>324.49887469992899</v>
      </c>
      <c r="L32" t="s">
        <v>29</v>
      </c>
      <c r="M32">
        <v>2.3196404001209801</v>
      </c>
      <c r="N32">
        <v>326.94846357998898</v>
      </c>
      <c r="O32">
        <v>327.24878269992701</v>
      </c>
      <c r="P32">
        <v>327.24878269992701</v>
      </c>
      <c r="Q32">
        <v>327.24878269992701</v>
      </c>
      <c r="R32">
        <v>327.24878269992701</v>
      </c>
      <c r="S32">
        <v>1</v>
      </c>
      <c r="T32">
        <v>31</v>
      </c>
      <c r="U32" t="s">
        <v>94</v>
      </c>
      <c r="V32" t="s">
        <v>95</v>
      </c>
      <c r="W32">
        <v>215968</v>
      </c>
      <c r="X32">
        <v>1</v>
      </c>
      <c r="Y32" t="s">
        <v>32</v>
      </c>
      <c r="Z32" t="s">
        <v>33</v>
      </c>
      <c r="AA32" t="s">
        <v>34</v>
      </c>
      <c r="AB32">
        <v>60.013707095343101</v>
      </c>
    </row>
    <row r="33" spans="1:28" x14ac:dyDescent="0.3">
      <c r="A33">
        <v>0.7</v>
      </c>
      <c r="B33">
        <v>1000</v>
      </c>
      <c r="C33" t="s">
        <v>28</v>
      </c>
      <c r="D33">
        <v>2</v>
      </c>
      <c r="E33">
        <v>7</v>
      </c>
      <c r="F33">
        <v>31</v>
      </c>
      <c r="G33">
        <v>5</v>
      </c>
      <c r="H33">
        <v>343.86557019990801</v>
      </c>
      <c r="I33">
        <v>344.865614699898</v>
      </c>
      <c r="J33">
        <v>344.865614699898</v>
      </c>
      <c r="K33">
        <v>344.865614699898</v>
      </c>
      <c r="L33" t="s">
        <v>29</v>
      </c>
      <c r="M33">
        <v>3.18206160026602</v>
      </c>
      <c r="N33">
        <v>348.76554637996003</v>
      </c>
      <c r="P33">
        <v>349.066387299913</v>
      </c>
      <c r="Q33">
        <v>349.066387299913</v>
      </c>
      <c r="R33">
        <v>349.066387299913</v>
      </c>
      <c r="S33">
        <v>1</v>
      </c>
      <c r="T33">
        <v>32</v>
      </c>
      <c r="U33" t="s">
        <v>96</v>
      </c>
      <c r="V33" t="s">
        <v>97</v>
      </c>
      <c r="W33">
        <v>215968</v>
      </c>
      <c r="X33">
        <v>1</v>
      </c>
      <c r="Y33" t="s">
        <v>32</v>
      </c>
      <c r="Z33" t="s">
        <v>33</v>
      </c>
      <c r="AA33" t="s">
        <v>34</v>
      </c>
      <c r="AB33">
        <v>60.013707095343101</v>
      </c>
    </row>
    <row r="34" spans="1:28" x14ac:dyDescent="0.3">
      <c r="A34">
        <v>0.4</v>
      </c>
      <c r="B34">
        <v>1000</v>
      </c>
      <c r="C34" t="s">
        <v>28</v>
      </c>
      <c r="D34">
        <v>2</v>
      </c>
      <c r="E34">
        <v>8</v>
      </c>
      <c r="F34">
        <v>32</v>
      </c>
      <c r="G34">
        <v>4</v>
      </c>
      <c r="H34">
        <v>352.43205880001102</v>
      </c>
      <c r="I34">
        <v>353.415974299889</v>
      </c>
      <c r="J34">
        <v>353.415974299889</v>
      </c>
      <c r="K34">
        <v>353.43252580007498</v>
      </c>
      <c r="L34" t="s">
        <v>29</v>
      </c>
      <c r="M34">
        <v>4.1865857001393998</v>
      </c>
      <c r="N34">
        <v>358.03277087991501</v>
      </c>
      <c r="P34">
        <v>358.33257439988603</v>
      </c>
      <c r="Q34">
        <v>358.33257439988603</v>
      </c>
      <c r="R34">
        <v>358.33257439988603</v>
      </c>
      <c r="S34">
        <v>1</v>
      </c>
      <c r="T34">
        <v>33</v>
      </c>
      <c r="U34" t="s">
        <v>98</v>
      </c>
      <c r="V34" t="s">
        <v>99</v>
      </c>
      <c r="W34">
        <v>215968</v>
      </c>
      <c r="X34">
        <v>1</v>
      </c>
      <c r="Y34" t="s">
        <v>32</v>
      </c>
      <c r="Z34" t="s">
        <v>33</v>
      </c>
      <c r="AA34" t="s">
        <v>34</v>
      </c>
      <c r="AB34">
        <v>60.013707095343101</v>
      </c>
    </row>
    <row r="35" spans="1:28" x14ac:dyDescent="0.3">
      <c r="A35">
        <v>0.1</v>
      </c>
      <c r="B35">
        <v>1000</v>
      </c>
      <c r="C35" t="s">
        <v>28</v>
      </c>
      <c r="D35">
        <v>2</v>
      </c>
      <c r="E35">
        <v>9</v>
      </c>
      <c r="F35">
        <v>33</v>
      </c>
      <c r="G35">
        <v>6</v>
      </c>
      <c r="H35">
        <v>360.93210430000897</v>
      </c>
      <c r="I35">
        <v>361.93261240003602</v>
      </c>
      <c r="J35">
        <v>361.93261240003602</v>
      </c>
      <c r="K35">
        <v>361.93261240003602</v>
      </c>
      <c r="L35" t="s">
        <v>29</v>
      </c>
      <c r="M35">
        <v>4.8362782001495299</v>
      </c>
      <c r="N35">
        <v>366.89902218000498</v>
      </c>
      <c r="P35">
        <v>367.19930700003101</v>
      </c>
      <c r="Q35">
        <v>367.19930700003101</v>
      </c>
      <c r="R35">
        <v>367.19930700003101</v>
      </c>
      <c r="S35">
        <v>1</v>
      </c>
      <c r="T35">
        <v>34</v>
      </c>
      <c r="U35" t="s">
        <v>100</v>
      </c>
      <c r="V35" t="s">
        <v>101</v>
      </c>
      <c r="W35">
        <v>215968</v>
      </c>
      <c r="X35">
        <v>1</v>
      </c>
      <c r="Y35" t="s">
        <v>32</v>
      </c>
      <c r="Z35" t="s">
        <v>33</v>
      </c>
      <c r="AA35" t="s">
        <v>34</v>
      </c>
      <c r="AB35">
        <v>60.013707095343101</v>
      </c>
    </row>
    <row r="36" spans="1:28" x14ac:dyDescent="0.3">
      <c r="A36">
        <v>0.7</v>
      </c>
      <c r="B36">
        <v>400</v>
      </c>
      <c r="C36" t="s">
        <v>39</v>
      </c>
      <c r="D36">
        <v>2</v>
      </c>
      <c r="E36">
        <v>10</v>
      </c>
      <c r="F36">
        <v>34</v>
      </c>
      <c r="G36">
        <v>2</v>
      </c>
      <c r="H36">
        <v>369.28235769993597</v>
      </c>
      <c r="I36">
        <v>370.28273939993198</v>
      </c>
      <c r="J36">
        <v>370.28273939993198</v>
      </c>
      <c r="K36">
        <v>370.28273939993198</v>
      </c>
      <c r="L36" t="s">
        <v>29</v>
      </c>
      <c r="M36">
        <v>3.0329136999789599</v>
      </c>
      <c r="N36">
        <v>374.03267268009898</v>
      </c>
      <c r="O36">
        <v>374.33310450008099</v>
      </c>
      <c r="P36">
        <v>374.33310450008099</v>
      </c>
      <c r="Q36">
        <v>374.33310450008099</v>
      </c>
      <c r="R36">
        <v>374.33310450008099</v>
      </c>
      <c r="S36">
        <v>50</v>
      </c>
      <c r="T36">
        <v>35</v>
      </c>
      <c r="U36" t="s">
        <v>102</v>
      </c>
      <c r="V36" t="s">
        <v>103</v>
      </c>
      <c r="W36">
        <v>215968</v>
      </c>
      <c r="X36">
        <v>1</v>
      </c>
      <c r="Y36" t="s">
        <v>32</v>
      </c>
      <c r="Z36" t="s">
        <v>33</v>
      </c>
      <c r="AA36" t="s">
        <v>34</v>
      </c>
      <c r="AB36">
        <v>60.013707095343101</v>
      </c>
    </row>
    <row r="37" spans="1:28" x14ac:dyDescent="0.3">
      <c r="A37">
        <v>0.4</v>
      </c>
      <c r="B37">
        <v>400</v>
      </c>
      <c r="C37" t="s">
        <v>39</v>
      </c>
      <c r="D37">
        <v>2</v>
      </c>
      <c r="E37">
        <v>11</v>
      </c>
      <c r="F37">
        <v>35</v>
      </c>
      <c r="G37">
        <v>1</v>
      </c>
      <c r="H37">
        <v>378.44909020001</v>
      </c>
      <c r="I37">
        <v>379.44939159997699</v>
      </c>
      <c r="J37">
        <v>379.44939159997699</v>
      </c>
      <c r="K37">
        <v>379.44939159997699</v>
      </c>
      <c r="L37" t="s">
        <v>29</v>
      </c>
      <c r="M37">
        <v>3.1004586000926699</v>
      </c>
      <c r="N37">
        <v>382.96608667995298</v>
      </c>
      <c r="O37">
        <v>383.26614409987798</v>
      </c>
      <c r="P37">
        <v>383.26614409987798</v>
      </c>
      <c r="Q37">
        <v>383.26614409987798</v>
      </c>
      <c r="R37">
        <v>383.26614409987798</v>
      </c>
      <c r="S37">
        <v>1</v>
      </c>
      <c r="T37">
        <v>36</v>
      </c>
      <c r="U37" t="s">
        <v>104</v>
      </c>
      <c r="V37" t="s">
        <v>105</v>
      </c>
      <c r="W37">
        <v>215968</v>
      </c>
      <c r="X37">
        <v>1</v>
      </c>
      <c r="Y37" t="s">
        <v>32</v>
      </c>
      <c r="Z37" t="s">
        <v>33</v>
      </c>
      <c r="AA37" t="s">
        <v>34</v>
      </c>
      <c r="AB37">
        <v>60.013707095343101</v>
      </c>
    </row>
    <row r="38" spans="1:28" x14ac:dyDescent="0.3">
      <c r="A38">
        <v>0.4</v>
      </c>
      <c r="B38">
        <v>400</v>
      </c>
      <c r="C38" t="s">
        <v>39</v>
      </c>
      <c r="D38">
        <v>3</v>
      </c>
      <c r="E38">
        <v>0</v>
      </c>
      <c r="F38">
        <v>36</v>
      </c>
      <c r="G38">
        <v>1</v>
      </c>
      <c r="H38">
        <v>386.34950869996101</v>
      </c>
      <c r="I38">
        <v>387.34972480009299</v>
      </c>
      <c r="J38">
        <v>387.34972480009299</v>
      </c>
      <c r="K38">
        <v>387.34972480009299</v>
      </c>
      <c r="L38" t="s">
        <v>29</v>
      </c>
      <c r="M38">
        <v>0.24877190007828101</v>
      </c>
      <c r="N38">
        <v>388.01622137997703</v>
      </c>
      <c r="O38">
        <v>388.31669860007202</v>
      </c>
      <c r="P38">
        <v>388.31669860007202</v>
      </c>
      <c r="Q38">
        <v>388.31669860007202</v>
      </c>
      <c r="R38">
        <v>388.31669860007202</v>
      </c>
      <c r="S38">
        <v>10</v>
      </c>
      <c r="T38">
        <v>37</v>
      </c>
      <c r="U38" t="s">
        <v>106</v>
      </c>
      <c r="V38" t="s">
        <v>107</v>
      </c>
      <c r="W38">
        <v>215968</v>
      </c>
      <c r="X38">
        <v>1</v>
      </c>
      <c r="Y38" t="s">
        <v>32</v>
      </c>
      <c r="Z38" t="s">
        <v>33</v>
      </c>
      <c r="AA38" t="s">
        <v>34</v>
      </c>
      <c r="AB38">
        <v>60.013707095343101</v>
      </c>
    </row>
    <row r="39" spans="1:28" x14ac:dyDescent="0.3">
      <c r="A39">
        <v>0.4</v>
      </c>
      <c r="B39">
        <v>1000</v>
      </c>
      <c r="C39" t="s">
        <v>28</v>
      </c>
      <c r="D39">
        <v>3</v>
      </c>
      <c r="E39">
        <v>1</v>
      </c>
      <c r="F39">
        <v>37</v>
      </c>
      <c r="G39">
        <v>10</v>
      </c>
      <c r="H39">
        <v>393.08238800009701</v>
      </c>
      <c r="I39">
        <v>394.08254180010402</v>
      </c>
      <c r="J39">
        <v>394.08254180010402</v>
      </c>
      <c r="K39">
        <v>394.08254180010402</v>
      </c>
      <c r="L39" t="s">
        <v>29</v>
      </c>
      <c r="M39">
        <v>2.2941806002054301</v>
      </c>
      <c r="N39">
        <v>396.79932857991599</v>
      </c>
      <c r="O39">
        <v>397.09966990002403</v>
      </c>
      <c r="P39">
        <v>397.09966990002403</v>
      </c>
      <c r="Q39">
        <v>397.09966990002403</v>
      </c>
      <c r="R39">
        <v>397.09966990002403</v>
      </c>
      <c r="S39">
        <v>1</v>
      </c>
      <c r="T39">
        <v>38</v>
      </c>
      <c r="U39" t="s">
        <v>108</v>
      </c>
      <c r="V39" t="s">
        <v>109</v>
      </c>
      <c r="W39">
        <v>215968</v>
      </c>
      <c r="X39">
        <v>1</v>
      </c>
      <c r="Y39" t="s">
        <v>32</v>
      </c>
      <c r="Z39" t="s">
        <v>33</v>
      </c>
      <c r="AA39" t="s">
        <v>34</v>
      </c>
      <c r="AB39">
        <v>60.013707095343101</v>
      </c>
    </row>
    <row r="40" spans="1:28" x14ac:dyDescent="0.3">
      <c r="A40">
        <v>0.1</v>
      </c>
      <c r="B40">
        <v>1000</v>
      </c>
      <c r="C40" t="s">
        <v>28</v>
      </c>
      <c r="D40">
        <v>3</v>
      </c>
      <c r="E40">
        <v>2</v>
      </c>
      <c r="F40">
        <v>38</v>
      </c>
      <c r="G40">
        <v>3</v>
      </c>
      <c r="H40">
        <v>399.61612910008898</v>
      </c>
      <c r="I40">
        <v>400.61622809991201</v>
      </c>
      <c r="J40">
        <v>400.61622809991201</v>
      </c>
      <c r="K40">
        <v>400.61622809991201</v>
      </c>
      <c r="L40" t="s">
        <v>29</v>
      </c>
      <c r="M40">
        <v>5.9310241001658097</v>
      </c>
      <c r="N40">
        <v>406.66601637995302</v>
      </c>
      <c r="P40">
        <v>406.96675399993501</v>
      </c>
      <c r="Q40">
        <v>406.96675399993501</v>
      </c>
      <c r="R40">
        <v>406.96675399993501</v>
      </c>
      <c r="S40">
        <v>1</v>
      </c>
      <c r="T40">
        <v>39</v>
      </c>
      <c r="U40" t="s">
        <v>110</v>
      </c>
      <c r="V40" t="s">
        <v>111</v>
      </c>
      <c r="W40">
        <v>215968</v>
      </c>
      <c r="X40">
        <v>1</v>
      </c>
      <c r="Y40" t="s">
        <v>32</v>
      </c>
      <c r="Z40" t="s">
        <v>33</v>
      </c>
      <c r="AA40" t="s">
        <v>34</v>
      </c>
      <c r="AB40">
        <v>60.013707095343101</v>
      </c>
    </row>
    <row r="41" spans="1:28" x14ac:dyDescent="0.3">
      <c r="A41">
        <v>0.1</v>
      </c>
      <c r="B41">
        <v>1000</v>
      </c>
      <c r="C41" t="s">
        <v>28</v>
      </c>
      <c r="D41">
        <v>3</v>
      </c>
      <c r="E41">
        <v>3</v>
      </c>
      <c r="F41">
        <v>39</v>
      </c>
      <c r="G41">
        <v>6</v>
      </c>
      <c r="H41">
        <v>408.80001219990601</v>
      </c>
      <c r="I41">
        <v>409.79951449995798</v>
      </c>
      <c r="J41">
        <v>409.79951449995798</v>
      </c>
      <c r="K41">
        <v>409.79951449995798</v>
      </c>
      <c r="L41" t="s">
        <v>29</v>
      </c>
      <c r="M41">
        <v>2.5010321000590898</v>
      </c>
      <c r="N41">
        <v>412.432883380097</v>
      </c>
      <c r="O41">
        <v>412.73304879991298</v>
      </c>
      <c r="P41">
        <v>412.73304879991298</v>
      </c>
      <c r="Q41">
        <v>412.73304879991298</v>
      </c>
      <c r="R41">
        <v>412.73304879991298</v>
      </c>
      <c r="S41">
        <v>3</v>
      </c>
      <c r="T41">
        <v>40</v>
      </c>
      <c r="U41" t="s">
        <v>112</v>
      </c>
      <c r="V41" t="s">
        <v>113</v>
      </c>
      <c r="W41">
        <v>215968</v>
      </c>
      <c r="X41">
        <v>1</v>
      </c>
      <c r="Y41" t="s">
        <v>32</v>
      </c>
      <c r="Z41" t="s">
        <v>33</v>
      </c>
      <c r="AA41" t="s">
        <v>34</v>
      </c>
      <c r="AB41">
        <v>60.013707095343101</v>
      </c>
    </row>
    <row r="42" spans="1:28" x14ac:dyDescent="0.3">
      <c r="A42">
        <v>0.1</v>
      </c>
      <c r="B42">
        <v>1000</v>
      </c>
      <c r="C42" t="s">
        <v>28</v>
      </c>
      <c r="D42">
        <v>3</v>
      </c>
      <c r="E42">
        <v>4</v>
      </c>
      <c r="F42">
        <v>40</v>
      </c>
      <c r="G42">
        <v>9</v>
      </c>
      <c r="H42">
        <v>416.71617179992597</v>
      </c>
      <c r="I42">
        <v>417.71641630004098</v>
      </c>
      <c r="J42">
        <v>417.71641630004098</v>
      </c>
      <c r="K42">
        <v>417.71641630004098</v>
      </c>
      <c r="L42" t="s">
        <v>29</v>
      </c>
      <c r="M42">
        <v>1.08505670027807</v>
      </c>
      <c r="N42">
        <v>418.93282648001298</v>
      </c>
      <c r="O42">
        <v>419.23339070007199</v>
      </c>
      <c r="P42">
        <v>419.23339070007199</v>
      </c>
      <c r="Q42">
        <v>419.23339070007199</v>
      </c>
      <c r="R42">
        <v>419.23339070007199</v>
      </c>
      <c r="S42">
        <v>1</v>
      </c>
      <c r="T42">
        <v>41</v>
      </c>
      <c r="U42" t="s">
        <v>114</v>
      </c>
      <c r="V42" t="s">
        <v>115</v>
      </c>
      <c r="W42">
        <v>215968</v>
      </c>
      <c r="X42">
        <v>1</v>
      </c>
      <c r="Y42" t="s">
        <v>32</v>
      </c>
      <c r="Z42" t="s">
        <v>33</v>
      </c>
      <c r="AA42" t="s">
        <v>34</v>
      </c>
      <c r="AB42">
        <v>60.013707095343101</v>
      </c>
    </row>
    <row r="43" spans="1:28" x14ac:dyDescent="0.3">
      <c r="A43">
        <v>0.4</v>
      </c>
      <c r="B43">
        <v>1000</v>
      </c>
      <c r="C43" t="s">
        <v>28</v>
      </c>
      <c r="D43">
        <v>3</v>
      </c>
      <c r="E43">
        <v>5</v>
      </c>
      <c r="F43">
        <v>41</v>
      </c>
      <c r="G43">
        <v>4</v>
      </c>
      <c r="H43">
        <v>422.86606270004899</v>
      </c>
      <c r="I43">
        <v>423.86640439997399</v>
      </c>
      <c r="J43">
        <v>423.86640439997399</v>
      </c>
      <c r="K43">
        <v>423.86640439997399</v>
      </c>
      <c r="L43" t="s">
        <v>29</v>
      </c>
      <c r="M43">
        <v>2.6041159001179</v>
      </c>
      <c r="N43">
        <v>426.89961868000597</v>
      </c>
      <c r="O43">
        <v>427.20024199993298</v>
      </c>
      <c r="P43">
        <v>427.20024199993298</v>
      </c>
      <c r="Q43">
        <v>427.20024199993298</v>
      </c>
      <c r="R43">
        <v>427.20024199993298</v>
      </c>
      <c r="S43">
        <v>1</v>
      </c>
      <c r="T43">
        <v>42</v>
      </c>
      <c r="U43" t="s">
        <v>116</v>
      </c>
      <c r="V43" t="s">
        <v>117</v>
      </c>
      <c r="W43">
        <v>215968</v>
      </c>
      <c r="X43">
        <v>1</v>
      </c>
      <c r="Y43" t="s">
        <v>32</v>
      </c>
      <c r="Z43" t="s">
        <v>33</v>
      </c>
      <c r="AA43" t="s">
        <v>34</v>
      </c>
      <c r="AB43">
        <v>60.013707095343101</v>
      </c>
    </row>
    <row r="44" spans="1:28" x14ac:dyDescent="0.3">
      <c r="A44">
        <v>0.7</v>
      </c>
      <c r="B44">
        <v>400</v>
      </c>
      <c r="C44" t="s">
        <v>39</v>
      </c>
      <c r="D44">
        <v>3</v>
      </c>
      <c r="E44">
        <v>6</v>
      </c>
      <c r="F44">
        <v>42</v>
      </c>
      <c r="G44">
        <v>2</v>
      </c>
      <c r="H44">
        <v>429.36596309998998</v>
      </c>
      <c r="I44">
        <v>430.36633779993201</v>
      </c>
      <c r="J44">
        <v>430.36633779993201</v>
      </c>
      <c r="K44">
        <v>430.36633779993201</v>
      </c>
      <c r="L44" t="s">
        <v>29</v>
      </c>
      <c r="M44">
        <v>0.50328229996375695</v>
      </c>
      <c r="N44">
        <v>431.60052437998797</v>
      </c>
      <c r="O44">
        <v>431.89994819997798</v>
      </c>
      <c r="P44">
        <v>431.89994819997798</v>
      </c>
      <c r="Q44">
        <v>431.89994819997798</v>
      </c>
      <c r="R44">
        <v>431.89994819997798</v>
      </c>
      <c r="S44">
        <v>1</v>
      </c>
      <c r="T44">
        <v>43</v>
      </c>
      <c r="U44" t="s">
        <v>118</v>
      </c>
      <c r="V44" t="s">
        <v>119</v>
      </c>
      <c r="W44">
        <v>215968</v>
      </c>
      <c r="X44">
        <v>1</v>
      </c>
      <c r="Y44" t="s">
        <v>32</v>
      </c>
      <c r="Z44" t="s">
        <v>33</v>
      </c>
      <c r="AA44" t="s">
        <v>34</v>
      </c>
      <c r="AB44">
        <v>60.013707095343101</v>
      </c>
    </row>
    <row r="45" spans="1:28" x14ac:dyDescent="0.3">
      <c r="A45">
        <v>0.7</v>
      </c>
      <c r="B45">
        <v>1000</v>
      </c>
      <c r="C45" t="s">
        <v>28</v>
      </c>
      <c r="D45">
        <v>3</v>
      </c>
      <c r="E45">
        <v>7</v>
      </c>
      <c r="F45">
        <v>43</v>
      </c>
      <c r="G45">
        <v>11</v>
      </c>
      <c r="H45">
        <v>434.04970879992402</v>
      </c>
      <c r="I45">
        <v>435.049870599992</v>
      </c>
      <c r="J45">
        <v>435.049870599992</v>
      </c>
      <c r="K45">
        <v>435.049870599992</v>
      </c>
      <c r="L45" t="s">
        <v>29</v>
      </c>
      <c r="M45">
        <v>2.0813326002098602</v>
      </c>
      <c r="N45">
        <v>437.84982447989699</v>
      </c>
      <c r="P45">
        <v>438.14961070008502</v>
      </c>
      <c r="Q45">
        <v>438.14961070008502</v>
      </c>
      <c r="R45">
        <v>438.14961070008502</v>
      </c>
      <c r="S45">
        <v>10</v>
      </c>
      <c r="T45">
        <v>44</v>
      </c>
      <c r="U45" t="s">
        <v>120</v>
      </c>
      <c r="V45" t="s">
        <v>121</v>
      </c>
      <c r="W45">
        <v>215968</v>
      </c>
      <c r="X45">
        <v>1</v>
      </c>
      <c r="Y45" t="s">
        <v>32</v>
      </c>
      <c r="Z45" t="s">
        <v>33</v>
      </c>
      <c r="AA45" t="s">
        <v>34</v>
      </c>
      <c r="AB45">
        <v>60.013707095343101</v>
      </c>
    </row>
    <row r="46" spans="1:28" x14ac:dyDescent="0.3">
      <c r="A46">
        <v>0.4</v>
      </c>
      <c r="B46">
        <v>1000</v>
      </c>
      <c r="C46" t="s">
        <v>28</v>
      </c>
      <c r="D46">
        <v>3</v>
      </c>
      <c r="E46">
        <v>8</v>
      </c>
      <c r="F46">
        <v>44</v>
      </c>
      <c r="G46">
        <v>7</v>
      </c>
      <c r="H46">
        <v>441.11612159991603</v>
      </c>
      <c r="I46">
        <v>442.116712399991</v>
      </c>
      <c r="J46">
        <v>442.116712399991</v>
      </c>
      <c r="K46">
        <v>442.116712399991</v>
      </c>
      <c r="L46" t="s">
        <v>29</v>
      </c>
      <c r="M46">
        <v>3.2309471000917198</v>
      </c>
      <c r="N46">
        <v>445.76661797997002</v>
      </c>
      <c r="P46">
        <v>446.06669080001302</v>
      </c>
      <c r="Q46">
        <v>446.06669080001302</v>
      </c>
      <c r="R46">
        <v>446.06669080001302</v>
      </c>
      <c r="S46">
        <v>1</v>
      </c>
      <c r="T46">
        <v>45</v>
      </c>
      <c r="U46" t="s">
        <v>122</v>
      </c>
      <c r="V46" t="s">
        <v>123</v>
      </c>
      <c r="W46">
        <v>215968</v>
      </c>
      <c r="X46">
        <v>1</v>
      </c>
      <c r="Y46" t="s">
        <v>32</v>
      </c>
      <c r="Z46" t="s">
        <v>33</v>
      </c>
      <c r="AA46" t="s">
        <v>34</v>
      </c>
      <c r="AB46">
        <v>60.013707095343101</v>
      </c>
    </row>
    <row r="47" spans="1:28" x14ac:dyDescent="0.3">
      <c r="A47">
        <v>0.7</v>
      </c>
      <c r="B47">
        <v>1000</v>
      </c>
      <c r="C47" t="s">
        <v>28</v>
      </c>
      <c r="D47">
        <v>3</v>
      </c>
      <c r="E47">
        <v>9</v>
      </c>
      <c r="F47">
        <v>45</v>
      </c>
      <c r="G47">
        <v>8</v>
      </c>
      <c r="H47">
        <v>451.299624599982</v>
      </c>
      <c r="I47">
        <v>452.30012129992201</v>
      </c>
      <c r="J47">
        <v>452.30012129992201</v>
      </c>
      <c r="K47">
        <v>452.30012129992201</v>
      </c>
      <c r="L47" t="s">
        <v>29</v>
      </c>
      <c r="M47">
        <v>1.2013022000901401</v>
      </c>
      <c r="N47">
        <v>454.23341347987298</v>
      </c>
      <c r="P47">
        <v>454.53393830009702</v>
      </c>
      <c r="Q47">
        <v>454.53393830009702</v>
      </c>
      <c r="R47">
        <v>454.53393830009702</v>
      </c>
      <c r="T47">
        <v>46</v>
      </c>
      <c r="U47" t="s">
        <v>124</v>
      </c>
      <c r="V47" t="s">
        <v>125</v>
      </c>
      <c r="W47">
        <v>215968</v>
      </c>
      <c r="X47">
        <v>1</v>
      </c>
      <c r="Y47" t="s">
        <v>32</v>
      </c>
      <c r="Z47" t="s">
        <v>33</v>
      </c>
      <c r="AA47" t="s">
        <v>34</v>
      </c>
      <c r="AB47">
        <v>60.013707095343101</v>
      </c>
    </row>
    <row r="48" spans="1:28" x14ac:dyDescent="0.3">
      <c r="A48">
        <v>0.1</v>
      </c>
      <c r="B48">
        <v>400</v>
      </c>
      <c r="C48" t="s">
        <v>39</v>
      </c>
      <c r="D48">
        <v>3</v>
      </c>
      <c r="E48">
        <v>10</v>
      </c>
      <c r="F48">
        <v>46</v>
      </c>
      <c r="G48">
        <v>0</v>
      </c>
      <c r="H48">
        <v>455.01707770000201</v>
      </c>
      <c r="I48">
        <v>456.01684250007298</v>
      </c>
      <c r="J48">
        <v>456.01684250007298</v>
      </c>
      <c r="K48">
        <v>456.01684250007298</v>
      </c>
      <c r="L48" t="s">
        <v>29</v>
      </c>
      <c r="M48">
        <v>2.2533486001193501</v>
      </c>
      <c r="N48">
        <v>458.399889879976</v>
      </c>
      <c r="P48">
        <v>458.70031789992902</v>
      </c>
      <c r="Q48">
        <v>458.70031789992902</v>
      </c>
      <c r="R48">
        <v>458.70031789992902</v>
      </c>
      <c r="S48">
        <v>1</v>
      </c>
      <c r="T48">
        <v>47</v>
      </c>
      <c r="U48" t="s">
        <v>126</v>
      </c>
      <c r="V48" t="s">
        <v>127</v>
      </c>
      <c r="W48">
        <v>215968</v>
      </c>
      <c r="X48">
        <v>1</v>
      </c>
      <c r="Y48" t="s">
        <v>32</v>
      </c>
      <c r="Z48" t="s">
        <v>33</v>
      </c>
      <c r="AA48" t="s">
        <v>34</v>
      </c>
      <c r="AB48">
        <v>60.013707095343101</v>
      </c>
    </row>
    <row r="49" spans="1:28" x14ac:dyDescent="0.3">
      <c r="A49">
        <v>0.7</v>
      </c>
      <c r="B49">
        <v>1000</v>
      </c>
      <c r="C49" t="s">
        <v>28</v>
      </c>
      <c r="D49">
        <v>3</v>
      </c>
      <c r="E49">
        <v>11</v>
      </c>
      <c r="F49">
        <v>47</v>
      </c>
      <c r="G49">
        <v>5</v>
      </c>
      <c r="H49">
        <v>460.04975700005798</v>
      </c>
      <c r="I49">
        <v>461.05020550009698</v>
      </c>
      <c r="J49">
        <v>461.05020550009698</v>
      </c>
      <c r="K49">
        <v>461.05020550009698</v>
      </c>
      <c r="L49" t="s">
        <v>29</v>
      </c>
      <c r="M49">
        <v>0.96730490028858096</v>
      </c>
      <c r="N49">
        <v>462.74999147991099</v>
      </c>
      <c r="P49">
        <v>463.05046669999098</v>
      </c>
      <c r="Q49">
        <v>463.05046669999098</v>
      </c>
      <c r="R49">
        <v>463.05046669999098</v>
      </c>
      <c r="S49">
        <v>1</v>
      </c>
      <c r="T49">
        <v>48</v>
      </c>
      <c r="U49" t="s">
        <v>128</v>
      </c>
      <c r="V49" t="s">
        <v>129</v>
      </c>
      <c r="W49">
        <v>215968</v>
      </c>
      <c r="X49">
        <v>1</v>
      </c>
      <c r="Y49" t="s">
        <v>32</v>
      </c>
      <c r="Z49" t="s">
        <v>33</v>
      </c>
      <c r="AA49" t="s">
        <v>34</v>
      </c>
      <c r="AB49">
        <v>60.013707095343101</v>
      </c>
    </row>
    <row r="50" spans="1:28" x14ac:dyDescent="0.3">
      <c r="A50">
        <v>0.4</v>
      </c>
      <c r="B50">
        <v>1000</v>
      </c>
      <c r="C50" t="s">
        <v>28</v>
      </c>
      <c r="D50">
        <v>4</v>
      </c>
      <c r="E50">
        <v>0</v>
      </c>
      <c r="F50">
        <v>48</v>
      </c>
      <c r="G50">
        <v>4</v>
      </c>
      <c r="H50">
        <v>466.46729309996499</v>
      </c>
      <c r="I50">
        <v>467.46693559992099</v>
      </c>
      <c r="J50">
        <v>467.46693559992099</v>
      </c>
      <c r="K50">
        <v>467.46693559992099</v>
      </c>
      <c r="L50" t="s">
        <v>29</v>
      </c>
      <c r="M50">
        <v>2.59827510011382</v>
      </c>
      <c r="N50">
        <v>470.48340697993899</v>
      </c>
      <c r="O50">
        <v>470.78422840009398</v>
      </c>
      <c r="P50">
        <v>470.78422840009398</v>
      </c>
      <c r="Q50">
        <v>470.78422840009398</v>
      </c>
      <c r="R50">
        <v>470.78422840009398</v>
      </c>
      <c r="S50">
        <v>1</v>
      </c>
      <c r="T50">
        <v>49</v>
      </c>
      <c r="U50" t="s">
        <v>130</v>
      </c>
      <c r="V50" t="s">
        <v>131</v>
      </c>
      <c r="W50">
        <v>215968</v>
      </c>
      <c r="X50">
        <v>1</v>
      </c>
      <c r="Y50" t="s">
        <v>32</v>
      </c>
      <c r="Z50" t="s">
        <v>33</v>
      </c>
      <c r="AA50" t="s">
        <v>34</v>
      </c>
      <c r="AB50">
        <v>60.013707095343101</v>
      </c>
    </row>
    <row r="51" spans="1:28" x14ac:dyDescent="0.3">
      <c r="A51">
        <v>0.4</v>
      </c>
      <c r="B51">
        <v>1000</v>
      </c>
      <c r="C51" t="s">
        <v>28</v>
      </c>
      <c r="D51">
        <v>4</v>
      </c>
      <c r="E51">
        <v>1</v>
      </c>
      <c r="F51">
        <v>49</v>
      </c>
      <c r="G51">
        <v>7</v>
      </c>
      <c r="H51">
        <v>472.64999049994998</v>
      </c>
      <c r="I51">
        <v>473.65023840009201</v>
      </c>
      <c r="J51">
        <v>473.65023840009201</v>
      </c>
      <c r="K51">
        <v>473.65023840009201</v>
      </c>
      <c r="L51" t="s">
        <v>29</v>
      </c>
      <c r="M51">
        <v>1.5421123001724399</v>
      </c>
      <c r="N51">
        <v>475.61678157991201</v>
      </c>
      <c r="P51">
        <v>475.91702640009999</v>
      </c>
      <c r="Q51">
        <v>475.91702640009999</v>
      </c>
      <c r="R51">
        <v>475.91702640009999</v>
      </c>
      <c r="S51">
        <v>2</v>
      </c>
      <c r="T51">
        <v>50</v>
      </c>
      <c r="U51" t="s">
        <v>132</v>
      </c>
      <c r="V51" t="s">
        <v>133</v>
      </c>
      <c r="W51">
        <v>215968</v>
      </c>
      <c r="X51">
        <v>1</v>
      </c>
      <c r="Y51" t="s">
        <v>32</v>
      </c>
      <c r="Z51" t="s">
        <v>33</v>
      </c>
      <c r="AA51" t="s">
        <v>34</v>
      </c>
      <c r="AB51">
        <v>60.013707095343101</v>
      </c>
    </row>
    <row r="52" spans="1:28" x14ac:dyDescent="0.3">
      <c r="A52">
        <v>0.4</v>
      </c>
      <c r="B52">
        <v>400</v>
      </c>
      <c r="C52" t="s">
        <v>39</v>
      </c>
      <c r="D52">
        <v>4</v>
      </c>
      <c r="E52">
        <v>2</v>
      </c>
      <c r="F52">
        <v>50</v>
      </c>
      <c r="G52">
        <v>1</v>
      </c>
      <c r="H52">
        <v>480.24973000003899</v>
      </c>
      <c r="I52">
        <v>481.25023079989398</v>
      </c>
      <c r="J52">
        <v>481.25023079989398</v>
      </c>
      <c r="K52">
        <v>481.25023079989398</v>
      </c>
      <c r="L52" t="s">
        <v>29</v>
      </c>
      <c r="M52">
        <v>0.67337900027632702</v>
      </c>
      <c r="N52">
        <v>482.35055907990301</v>
      </c>
      <c r="O52">
        <v>482.65059689991102</v>
      </c>
      <c r="P52">
        <v>482.65059689991102</v>
      </c>
      <c r="Q52">
        <v>482.65059689991102</v>
      </c>
      <c r="R52">
        <v>482.65059689991102</v>
      </c>
      <c r="S52">
        <v>10</v>
      </c>
      <c r="T52">
        <v>51</v>
      </c>
      <c r="U52" t="s">
        <v>134</v>
      </c>
      <c r="V52" t="s">
        <v>135</v>
      </c>
      <c r="W52">
        <v>215968</v>
      </c>
      <c r="X52">
        <v>1</v>
      </c>
      <c r="Y52" t="s">
        <v>32</v>
      </c>
      <c r="Z52" t="s">
        <v>33</v>
      </c>
      <c r="AA52" t="s">
        <v>34</v>
      </c>
      <c r="AB52">
        <v>60.013707095343101</v>
      </c>
    </row>
    <row r="53" spans="1:28" x14ac:dyDescent="0.3">
      <c r="A53">
        <v>0.7</v>
      </c>
      <c r="B53">
        <v>1000</v>
      </c>
      <c r="C53" t="s">
        <v>28</v>
      </c>
      <c r="D53">
        <v>4</v>
      </c>
      <c r="E53">
        <v>3</v>
      </c>
      <c r="F53">
        <v>51</v>
      </c>
      <c r="G53">
        <v>5</v>
      </c>
      <c r="H53">
        <v>487.083538499893</v>
      </c>
      <c r="I53">
        <v>488.083642800105</v>
      </c>
      <c r="J53">
        <v>488.083642800105</v>
      </c>
      <c r="K53">
        <v>488.083642800105</v>
      </c>
      <c r="L53" t="s">
        <v>29</v>
      </c>
      <c r="M53">
        <v>2.19129950017668</v>
      </c>
      <c r="N53">
        <v>491.00042118004001</v>
      </c>
      <c r="O53">
        <v>491.30040409998003</v>
      </c>
      <c r="P53">
        <v>491.30040409998003</v>
      </c>
      <c r="Q53">
        <v>491.30040409998003</v>
      </c>
      <c r="R53">
        <v>491.30040409998003</v>
      </c>
      <c r="S53">
        <v>10</v>
      </c>
      <c r="T53">
        <v>52</v>
      </c>
      <c r="U53" t="s">
        <v>136</v>
      </c>
      <c r="V53" t="s">
        <v>137</v>
      </c>
      <c r="W53">
        <v>215968</v>
      </c>
      <c r="X53">
        <v>1</v>
      </c>
      <c r="Y53" t="s">
        <v>32</v>
      </c>
      <c r="Z53" t="s">
        <v>33</v>
      </c>
      <c r="AA53" t="s">
        <v>34</v>
      </c>
      <c r="AB53">
        <v>60.013707095343101</v>
      </c>
    </row>
    <row r="54" spans="1:28" x14ac:dyDescent="0.3">
      <c r="A54">
        <v>0.7</v>
      </c>
      <c r="B54">
        <v>400</v>
      </c>
      <c r="C54" t="s">
        <v>39</v>
      </c>
      <c r="D54">
        <v>4</v>
      </c>
      <c r="E54">
        <v>4</v>
      </c>
      <c r="F54">
        <v>52</v>
      </c>
      <c r="G54">
        <v>2</v>
      </c>
      <c r="H54">
        <v>496.01685860008001</v>
      </c>
      <c r="I54">
        <v>497.01708770007798</v>
      </c>
      <c r="J54">
        <v>497.01708770007798</v>
      </c>
      <c r="K54">
        <v>497.01708770007798</v>
      </c>
      <c r="L54" t="s">
        <v>29</v>
      </c>
      <c r="M54">
        <v>1.64969910006038</v>
      </c>
      <c r="N54">
        <v>499.38367578002999</v>
      </c>
      <c r="P54">
        <v>499.68384999991298</v>
      </c>
      <c r="Q54">
        <v>499.68384999991298</v>
      </c>
      <c r="R54">
        <v>499.68384999991298</v>
      </c>
      <c r="S54">
        <v>1</v>
      </c>
      <c r="T54">
        <v>53</v>
      </c>
      <c r="U54" t="s">
        <v>138</v>
      </c>
      <c r="V54" t="s">
        <v>139</v>
      </c>
      <c r="W54">
        <v>215968</v>
      </c>
      <c r="X54">
        <v>1</v>
      </c>
      <c r="Y54" t="s">
        <v>32</v>
      </c>
      <c r="Z54" t="s">
        <v>33</v>
      </c>
      <c r="AA54" t="s">
        <v>34</v>
      </c>
      <c r="AB54">
        <v>60.013707095343101</v>
      </c>
    </row>
    <row r="55" spans="1:28" x14ac:dyDescent="0.3">
      <c r="A55">
        <v>0.1</v>
      </c>
      <c r="B55">
        <v>1000</v>
      </c>
      <c r="C55" t="s">
        <v>28</v>
      </c>
      <c r="D55">
        <v>4</v>
      </c>
      <c r="E55">
        <v>5</v>
      </c>
      <c r="F55">
        <v>53</v>
      </c>
      <c r="G55">
        <v>9</v>
      </c>
      <c r="H55">
        <v>502.133805199991</v>
      </c>
      <c r="I55">
        <v>503.13369060004999</v>
      </c>
      <c r="J55">
        <v>503.13369060004999</v>
      </c>
      <c r="K55">
        <v>503.13369060004999</v>
      </c>
      <c r="L55" t="s">
        <v>29</v>
      </c>
      <c r="M55">
        <v>2.68079690006561</v>
      </c>
      <c r="N55">
        <v>505.93380207999098</v>
      </c>
      <c r="P55">
        <v>506.23396659991698</v>
      </c>
      <c r="Q55">
        <v>506.23396659991698</v>
      </c>
      <c r="R55">
        <v>506.23396659991698</v>
      </c>
      <c r="S55">
        <v>1</v>
      </c>
      <c r="T55">
        <v>54</v>
      </c>
      <c r="U55" t="s">
        <v>140</v>
      </c>
      <c r="V55" t="s">
        <v>141</v>
      </c>
      <c r="W55">
        <v>215968</v>
      </c>
      <c r="X55">
        <v>1</v>
      </c>
      <c r="Y55" t="s">
        <v>32</v>
      </c>
      <c r="Z55" t="s">
        <v>33</v>
      </c>
      <c r="AA55" t="s">
        <v>34</v>
      </c>
      <c r="AB55">
        <v>60.013707095343101</v>
      </c>
    </row>
    <row r="56" spans="1:28" x14ac:dyDescent="0.3">
      <c r="A56">
        <v>0.1</v>
      </c>
      <c r="B56">
        <v>1000</v>
      </c>
      <c r="C56" t="s">
        <v>28</v>
      </c>
      <c r="D56">
        <v>4</v>
      </c>
      <c r="E56">
        <v>6</v>
      </c>
      <c r="F56">
        <v>54</v>
      </c>
      <c r="G56">
        <v>6</v>
      </c>
      <c r="H56">
        <v>508.68428079993402</v>
      </c>
      <c r="I56">
        <v>509.68410620000202</v>
      </c>
      <c r="J56">
        <v>509.68410620000202</v>
      </c>
      <c r="K56">
        <v>509.68410620000202</v>
      </c>
      <c r="L56" t="s">
        <v>29</v>
      </c>
      <c r="M56">
        <v>1.76230810023844</v>
      </c>
      <c r="N56">
        <v>511.567337280022</v>
      </c>
      <c r="P56">
        <v>511.86765490006599</v>
      </c>
      <c r="Q56">
        <v>511.86765490006599</v>
      </c>
      <c r="R56">
        <v>511.86765490006599</v>
      </c>
      <c r="S56">
        <v>1</v>
      </c>
      <c r="T56">
        <v>55</v>
      </c>
      <c r="U56" t="s">
        <v>142</v>
      </c>
      <c r="V56" t="s">
        <v>143</v>
      </c>
      <c r="W56">
        <v>215968</v>
      </c>
      <c r="X56">
        <v>1</v>
      </c>
      <c r="Y56" t="s">
        <v>32</v>
      </c>
      <c r="Z56" t="s">
        <v>33</v>
      </c>
      <c r="AA56" t="s">
        <v>34</v>
      </c>
      <c r="AB56">
        <v>60.013707095343101</v>
      </c>
    </row>
    <row r="57" spans="1:28" x14ac:dyDescent="0.3">
      <c r="A57">
        <v>0.4</v>
      </c>
      <c r="B57">
        <v>1000</v>
      </c>
      <c r="C57" t="s">
        <v>28</v>
      </c>
      <c r="D57">
        <v>4</v>
      </c>
      <c r="E57">
        <v>7</v>
      </c>
      <c r="F57">
        <v>55</v>
      </c>
      <c r="G57">
        <v>10</v>
      </c>
      <c r="H57">
        <v>513.68365540006198</v>
      </c>
      <c r="I57">
        <v>514.68393850000496</v>
      </c>
      <c r="J57">
        <v>514.68393850000496</v>
      </c>
      <c r="K57">
        <v>514.68393850000496</v>
      </c>
      <c r="L57" t="s">
        <v>29</v>
      </c>
      <c r="M57">
        <v>1.10870649991557</v>
      </c>
      <c r="N57">
        <v>516.21721718006302</v>
      </c>
      <c r="P57">
        <v>516.51750360010101</v>
      </c>
      <c r="Q57">
        <v>516.51750360010101</v>
      </c>
      <c r="R57">
        <v>516.51750360010101</v>
      </c>
      <c r="S57">
        <v>1</v>
      </c>
      <c r="T57">
        <v>56</v>
      </c>
      <c r="U57" t="s">
        <v>144</v>
      </c>
      <c r="V57" t="s">
        <v>145</v>
      </c>
      <c r="W57">
        <v>215968</v>
      </c>
      <c r="X57">
        <v>1</v>
      </c>
      <c r="Y57" t="s">
        <v>32</v>
      </c>
      <c r="Z57" t="s">
        <v>33</v>
      </c>
      <c r="AA57" t="s">
        <v>34</v>
      </c>
      <c r="AB57">
        <v>60.013707095343101</v>
      </c>
    </row>
    <row r="58" spans="1:28" x14ac:dyDescent="0.3">
      <c r="A58">
        <v>0.1</v>
      </c>
      <c r="B58">
        <v>1000</v>
      </c>
      <c r="C58" t="s">
        <v>28</v>
      </c>
      <c r="D58">
        <v>4</v>
      </c>
      <c r="E58">
        <v>8</v>
      </c>
      <c r="F58">
        <v>56</v>
      </c>
      <c r="G58">
        <v>3</v>
      </c>
      <c r="H58">
        <v>518.13373939995597</v>
      </c>
      <c r="I58">
        <v>519.13394919992402</v>
      </c>
      <c r="J58">
        <v>519.13394919992402</v>
      </c>
      <c r="K58">
        <v>519.13394919992402</v>
      </c>
      <c r="L58" t="s">
        <v>29</v>
      </c>
      <c r="M58">
        <v>1.20882760011591</v>
      </c>
      <c r="N58">
        <v>520.46719737991202</v>
      </c>
      <c r="P58">
        <v>520.76785359997302</v>
      </c>
      <c r="Q58">
        <v>520.76785359997302</v>
      </c>
      <c r="R58">
        <v>520.76785359997302</v>
      </c>
      <c r="S58">
        <v>1</v>
      </c>
      <c r="T58">
        <v>57</v>
      </c>
      <c r="U58" t="s">
        <v>146</v>
      </c>
      <c r="V58" t="s">
        <v>147</v>
      </c>
      <c r="W58">
        <v>215968</v>
      </c>
      <c r="X58">
        <v>1</v>
      </c>
      <c r="Y58" t="s">
        <v>32</v>
      </c>
      <c r="Z58" t="s">
        <v>33</v>
      </c>
      <c r="AA58" t="s">
        <v>34</v>
      </c>
      <c r="AB58">
        <v>60.013707095343101</v>
      </c>
    </row>
    <row r="59" spans="1:28" x14ac:dyDescent="0.3">
      <c r="A59">
        <v>0.7</v>
      </c>
      <c r="B59">
        <v>1000</v>
      </c>
      <c r="C59" t="s">
        <v>28</v>
      </c>
      <c r="D59">
        <v>4</v>
      </c>
      <c r="E59">
        <v>9</v>
      </c>
      <c r="F59">
        <v>57</v>
      </c>
      <c r="G59">
        <v>11</v>
      </c>
      <c r="H59">
        <v>522.68381340010001</v>
      </c>
      <c r="I59">
        <v>523.68405140004995</v>
      </c>
      <c r="J59">
        <v>523.68405140004995</v>
      </c>
      <c r="K59">
        <v>523.68405140004995</v>
      </c>
      <c r="L59" t="s">
        <v>29</v>
      </c>
      <c r="M59">
        <v>4.5048206001520104</v>
      </c>
      <c r="N59">
        <v>528.91732107999201</v>
      </c>
      <c r="O59">
        <v>529.21786429989095</v>
      </c>
      <c r="P59">
        <v>529.21786429989095</v>
      </c>
      <c r="Q59">
        <v>529.21786429989095</v>
      </c>
      <c r="R59">
        <v>529.21786429989095</v>
      </c>
      <c r="S59">
        <v>10</v>
      </c>
      <c r="T59">
        <v>58</v>
      </c>
      <c r="U59" t="s">
        <v>148</v>
      </c>
      <c r="V59" t="s">
        <v>149</v>
      </c>
      <c r="W59">
        <v>215968</v>
      </c>
      <c r="X59">
        <v>1</v>
      </c>
      <c r="Y59" t="s">
        <v>32</v>
      </c>
      <c r="Z59" t="s">
        <v>33</v>
      </c>
      <c r="AA59" t="s">
        <v>34</v>
      </c>
      <c r="AB59">
        <v>60.013707095343101</v>
      </c>
    </row>
    <row r="60" spans="1:28" x14ac:dyDescent="0.3">
      <c r="A60">
        <v>0.1</v>
      </c>
      <c r="B60">
        <v>400</v>
      </c>
      <c r="C60" t="s">
        <v>39</v>
      </c>
      <c r="D60">
        <v>4</v>
      </c>
      <c r="E60">
        <v>10</v>
      </c>
      <c r="F60">
        <v>58</v>
      </c>
      <c r="G60">
        <v>0</v>
      </c>
      <c r="H60">
        <v>534.45071540004506</v>
      </c>
      <c r="I60">
        <v>535.45089640002698</v>
      </c>
      <c r="J60">
        <v>535.45089640002698</v>
      </c>
      <c r="K60">
        <v>535.45089640002698</v>
      </c>
      <c r="L60" t="s">
        <v>29</v>
      </c>
      <c r="M60">
        <v>1.1222493001259799</v>
      </c>
      <c r="N60">
        <v>536.70069707988296</v>
      </c>
      <c r="O60">
        <v>537.00142979994405</v>
      </c>
      <c r="P60">
        <v>537.00142979994405</v>
      </c>
      <c r="Q60">
        <v>537.00142979994405</v>
      </c>
      <c r="R60">
        <v>537.00142979994405</v>
      </c>
      <c r="S60">
        <v>1</v>
      </c>
      <c r="T60">
        <v>59</v>
      </c>
      <c r="U60" t="s">
        <v>150</v>
      </c>
      <c r="V60" t="s">
        <v>151</v>
      </c>
      <c r="W60">
        <v>215968</v>
      </c>
      <c r="X60">
        <v>1</v>
      </c>
      <c r="Y60" t="s">
        <v>32</v>
      </c>
      <c r="Z60" t="s">
        <v>33</v>
      </c>
      <c r="AA60" t="s">
        <v>34</v>
      </c>
      <c r="AB60">
        <v>60.013707095343101</v>
      </c>
    </row>
    <row r="61" spans="1:28" x14ac:dyDescent="0.3">
      <c r="A61">
        <v>0.7</v>
      </c>
      <c r="B61">
        <v>1000</v>
      </c>
      <c r="C61" t="s">
        <v>28</v>
      </c>
      <c r="D61">
        <v>4</v>
      </c>
      <c r="E61">
        <v>11</v>
      </c>
      <c r="F61">
        <v>59</v>
      </c>
      <c r="G61">
        <v>8</v>
      </c>
      <c r="H61">
        <v>539.16779930004805</v>
      </c>
      <c r="I61">
        <v>540.16766880010198</v>
      </c>
      <c r="J61">
        <v>540.16766880010198</v>
      </c>
      <c r="K61">
        <v>540.16766880010198</v>
      </c>
      <c r="L61" t="s">
        <v>29</v>
      </c>
      <c r="M61">
        <v>1.0259673001710301</v>
      </c>
      <c r="N61">
        <v>541.91751348006005</v>
      </c>
      <c r="P61">
        <v>542.21802689996503</v>
      </c>
      <c r="Q61">
        <v>542.21802689996503</v>
      </c>
      <c r="R61">
        <v>542.21802689996503</v>
      </c>
      <c r="S61">
        <v>10</v>
      </c>
      <c r="T61">
        <v>60</v>
      </c>
      <c r="U61" t="s">
        <v>152</v>
      </c>
      <c r="V61" t="s">
        <v>153</v>
      </c>
      <c r="W61">
        <v>215968</v>
      </c>
      <c r="X61">
        <v>1</v>
      </c>
      <c r="Y61" t="s">
        <v>32</v>
      </c>
      <c r="Z61" t="s">
        <v>33</v>
      </c>
      <c r="AA61" t="s">
        <v>34</v>
      </c>
      <c r="AB61">
        <v>60.013707095343101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1"/>
  <sheetViews>
    <sheetView tabSelected="1" workbookViewId="0">
      <selection activeCell="J7" sqref="J7"/>
    </sheetView>
  </sheetViews>
  <sheetFormatPr defaultRowHeight="14.4" x14ac:dyDescent="0.3"/>
  <cols>
    <col min="5" max="5" width="12.109375" customWidth="1"/>
    <col min="9" max="9" width="10.21875" customWidth="1"/>
    <col min="10" max="10" width="11" customWidth="1"/>
  </cols>
  <sheetData>
    <row r="1" spans="1:10" x14ac:dyDescent="0.3">
      <c r="A1" t="s">
        <v>2</v>
      </c>
      <c r="B1" t="s">
        <v>18</v>
      </c>
    </row>
    <row r="2" spans="1:10" x14ac:dyDescent="0.3">
      <c r="A2" t="s">
        <v>28</v>
      </c>
      <c r="B2">
        <v>260</v>
      </c>
    </row>
    <row r="3" spans="1:10" x14ac:dyDescent="0.3">
      <c r="A3" t="s">
        <v>28</v>
      </c>
      <c r="B3">
        <v>1</v>
      </c>
    </row>
    <row r="4" spans="1:10" x14ac:dyDescent="0.3">
      <c r="A4" t="s">
        <v>28</v>
      </c>
      <c r="B4">
        <v>200</v>
      </c>
      <c r="E4" t="s">
        <v>154</v>
      </c>
      <c r="F4">
        <f>SUM(B2:B46)</f>
        <v>802</v>
      </c>
    </row>
    <row r="5" spans="1:10" x14ac:dyDescent="0.3">
      <c r="A5" t="s">
        <v>28</v>
      </c>
      <c r="B5">
        <v>50</v>
      </c>
      <c r="E5" t="s">
        <v>155</v>
      </c>
      <c r="F5">
        <f>SUM(B47:B61)</f>
        <v>236</v>
      </c>
    </row>
    <row r="6" spans="1:10" x14ac:dyDescent="0.3">
      <c r="A6" t="s">
        <v>28</v>
      </c>
      <c r="B6">
        <v>10</v>
      </c>
      <c r="I6" t="s">
        <v>158</v>
      </c>
      <c r="J6" t="s">
        <v>159</v>
      </c>
    </row>
    <row r="7" spans="1:10" x14ac:dyDescent="0.3">
      <c r="A7" t="s">
        <v>28</v>
      </c>
      <c r="B7">
        <v>50</v>
      </c>
      <c r="E7" t="s">
        <v>156</v>
      </c>
      <c r="F7">
        <f>AVERAGE(B2:B46)</f>
        <v>18.227272727272727</v>
      </c>
      <c r="J7">
        <f>F7-F8</f>
        <v>2.4939393939393941</v>
      </c>
    </row>
    <row r="8" spans="1:10" x14ac:dyDescent="0.3">
      <c r="A8" t="s">
        <v>28</v>
      </c>
      <c r="B8">
        <v>50</v>
      </c>
      <c r="E8" t="s">
        <v>157</v>
      </c>
      <c r="F8">
        <f>AVERAGE(B47:B61)</f>
        <v>15.733333333333333</v>
      </c>
    </row>
    <row r="9" spans="1:10" x14ac:dyDescent="0.3">
      <c r="A9" t="s">
        <v>28</v>
      </c>
      <c r="B9">
        <v>10</v>
      </c>
    </row>
    <row r="10" spans="1:10" x14ac:dyDescent="0.3">
      <c r="A10" t="s">
        <v>28</v>
      </c>
      <c r="B10">
        <v>50</v>
      </c>
    </row>
    <row r="11" spans="1:10" x14ac:dyDescent="0.3">
      <c r="A11" t="s">
        <v>28</v>
      </c>
      <c r="B11">
        <v>10</v>
      </c>
    </row>
    <row r="12" spans="1:10" x14ac:dyDescent="0.3">
      <c r="A12" t="s">
        <v>28</v>
      </c>
      <c r="B12">
        <v>1</v>
      </c>
    </row>
    <row r="13" spans="1:10" x14ac:dyDescent="0.3">
      <c r="A13" t="s">
        <v>28</v>
      </c>
      <c r="B13">
        <v>10</v>
      </c>
    </row>
    <row r="14" spans="1:10" x14ac:dyDescent="0.3">
      <c r="A14" t="s">
        <v>28</v>
      </c>
      <c r="B14">
        <v>1</v>
      </c>
    </row>
    <row r="15" spans="1:10" x14ac:dyDescent="0.3">
      <c r="A15" t="s">
        <v>28</v>
      </c>
      <c r="B15">
        <v>3</v>
      </c>
    </row>
    <row r="16" spans="1:10" x14ac:dyDescent="0.3">
      <c r="A16" t="s">
        <v>28</v>
      </c>
      <c r="B16">
        <v>10</v>
      </c>
    </row>
    <row r="17" spans="1:2" x14ac:dyDescent="0.3">
      <c r="A17" t="s">
        <v>28</v>
      </c>
      <c r="B17">
        <v>1</v>
      </c>
    </row>
    <row r="18" spans="1:2" x14ac:dyDescent="0.3">
      <c r="A18" t="s">
        <v>28</v>
      </c>
      <c r="B18">
        <v>1</v>
      </c>
    </row>
    <row r="19" spans="1:2" x14ac:dyDescent="0.3">
      <c r="A19" t="s">
        <v>28</v>
      </c>
      <c r="B19">
        <v>10</v>
      </c>
    </row>
    <row r="20" spans="1:2" x14ac:dyDescent="0.3">
      <c r="A20" t="s">
        <v>28</v>
      </c>
      <c r="B20">
        <v>10</v>
      </c>
    </row>
    <row r="21" spans="1:2" x14ac:dyDescent="0.3">
      <c r="A21" t="s">
        <v>28</v>
      </c>
      <c r="B21">
        <v>1</v>
      </c>
    </row>
    <row r="22" spans="1:2" x14ac:dyDescent="0.3">
      <c r="A22" t="s">
        <v>28</v>
      </c>
      <c r="B22">
        <v>1</v>
      </c>
    </row>
    <row r="23" spans="1:2" x14ac:dyDescent="0.3">
      <c r="A23" t="s">
        <v>28</v>
      </c>
      <c r="B23">
        <v>1</v>
      </c>
    </row>
    <row r="24" spans="1:2" x14ac:dyDescent="0.3">
      <c r="A24" t="s">
        <v>28</v>
      </c>
      <c r="B24">
        <v>1</v>
      </c>
    </row>
    <row r="25" spans="1:2" x14ac:dyDescent="0.3">
      <c r="A25" t="s">
        <v>28</v>
      </c>
      <c r="B25">
        <v>1</v>
      </c>
    </row>
    <row r="26" spans="1:2" x14ac:dyDescent="0.3">
      <c r="A26" t="s">
        <v>28</v>
      </c>
      <c r="B26">
        <v>1</v>
      </c>
    </row>
    <row r="27" spans="1:2" x14ac:dyDescent="0.3">
      <c r="A27" t="s">
        <v>28</v>
      </c>
      <c r="B27">
        <v>1</v>
      </c>
    </row>
    <row r="28" spans="1:2" x14ac:dyDescent="0.3">
      <c r="A28" t="s">
        <v>28</v>
      </c>
      <c r="B28">
        <v>1</v>
      </c>
    </row>
    <row r="29" spans="1:2" x14ac:dyDescent="0.3">
      <c r="A29" t="s">
        <v>28</v>
      </c>
      <c r="B29">
        <v>1</v>
      </c>
    </row>
    <row r="30" spans="1:2" x14ac:dyDescent="0.3">
      <c r="A30" t="s">
        <v>28</v>
      </c>
      <c r="B30">
        <v>1</v>
      </c>
    </row>
    <row r="31" spans="1:2" x14ac:dyDescent="0.3">
      <c r="A31" t="s">
        <v>28</v>
      </c>
      <c r="B31">
        <v>3</v>
      </c>
    </row>
    <row r="32" spans="1:2" x14ac:dyDescent="0.3">
      <c r="A32" t="s">
        <v>28</v>
      </c>
      <c r="B32">
        <v>1</v>
      </c>
    </row>
    <row r="33" spans="1:2" x14ac:dyDescent="0.3">
      <c r="A33" t="s">
        <v>28</v>
      </c>
      <c r="B33">
        <v>1</v>
      </c>
    </row>
    <row r="34" spans="1:2" x14ac:dyDescent="0.3">
      <c r="A34" t="s">
        <v>28</v>
      </c>
      <c r="B34">
        <v>10</v>
      </c>
    </row>
    <row r="35" spans="1:2" x14ac:dyDescent="0.3">
      <c r="A35" t="s">
        <v>28</v>
      </c>
      <c r="B35">
        <v>1</v>
      </c>
    </row>
    <row r="36" spans="1:2" x14ac:dyDescent="0.3">
      <c r="A36" t="s">
        <v>28</v>
      </c>
    </row>
    <row r="37" spans="1:2" x14ac:dyDescent="0.3">
      <c r="A37" t="s">
        <v>28</v>
      </c>
      <c r="B37">
        <v>1</v>
      </c>
    </row>
    <row r="38" spans="1:2" x14ac:dyDescent="0.3">
      <c r="A38" t="s">
        <v>28</v>
      </c>
      <c r="B38">
        <v>1</v>
      </c>
    </row>
    <row r="39" spans="1:2" x14ac:dyDescent="0.3">
      <c r="A39" t="s">
        <v>28</v>
      </c>
      <c r="B39">
        <v>2</v>
      </c>
    </row>
    <row r="40" spans="1:2" x14ac:dyDescent="0.3">
      <c r="A40" t="s">
        <v>28</v>
      </c>
      <c r="B40">
        <v>10</v>
      </c>
    </row>
    <row r="41" spans="1:2" x14ac:dyDescent="0.3">
      <c r="A41" t="s">
        <v>28</v>
      </c>
      <c r="B41">
        <v>1</v>
      </c>
    </row>
    <row r="42" spans="1:2" x14ac:dyDescent="0.3">
      <c r="A42" t="s">
        <v>28</v>
      </c>
      <c r="B42">
        <v>1</v>
      </c>
    </row>
    <row r="43" spans="1:2" x14ac:dyDescent="0.3">
      <c r="A43" t="s">
        <v>28</v>
      </c>
      <c r="B43">
        <v>1</v>
      </c>
    </row>
    <row r="44" spans="1:2" x14ac:dyDescent="0.3">
      <c r="A44" t="s">
        <v>28</v>
      </c>
      <c r="B44">
        <v>1</v>
      </c>
    </row>
    <row r="45" spans="1:2" x14ac:dyDescent="0.3">
      <c r="A45" t="s">
        <v>28</v>
      </c>
      <c r="B45">
        <v>10</v>
      </c>
    </row>
    <row r="46" spans="1:2" x14ac:dyDescent="0.3">
      <c r="A46" t="s">
        <v>28</v>
      </c>
      <c r="B46">
        <v>10</v>
      </c>
    </row>
    <row r="47" spans="1:2" x14ac:dyDescent="0.3">
      <c r="A47" t="s">
        <v>39</v>
      </c>
      <c r="B47">
        <v>10</v>
      </c>
    </row>
    <row r="48" spans="1:2" x14ac:dyDescent="0.3">
      <c r="A48" t="s">
        <v>39</v>
      </c>
      <c r="B48">
        <v>10</v>
      </c>
    </row>
    <row r="49" spans="1:2" x14ac:dyDescent="0.3">
      <c r="A49" t="s">
        <v>39</v>
      </c>
      <c r="B49">
        <v>10</v>
      </c>
    </row>
    <row r="50" spans="1:2" x14ac:dyDescent="0.3">
      <c r="A50" t="s">
        <v>39</v>
      </c>
      <c r="B50">
        <v>60</v>
      </c>
    </row>
    <row r="51" spans="1:2" x14ac:dyDescent="0.3">
      <c r="A51" t="s">
        <v>39</v>
      </c>
      <c r="B51">
        <v>60</v>
      </c>
    </row>
    <row r="52" spans="1:2" x14ac:dyDescent="0.3">
      <c r="A52" t="s">
        <v>39</v>
      </c>
      <c r="B52">
        <v>10</v>
      </c>
    </row>
    <row r="53" spans="1:2" x14ac:dyDescent="0.3">
      <c r="A53" t="s">
        <v>39</v>
      </c>
      <c r="B53">
        <v>1</v>
      </c>
    </row>
    <row r="54" spans="1:2" x14ac:dyDescent="0.3">
      <c r="A54" t="s">
        <v>39</v>
      </c>
      <c r="B54">
        <v>50</v>
      </c>
    </row>
    <row r="55" spans="1:2" x14ac:dyDescent="0.3">
      <c r="A55" t="s">
        <v>39</v>
      </c>
      <c r="B55">
        <v>1</v>
      </c>
    </row>
    <row r="56" spans="1:2" x14ac:dyDescent="0.3">
      <c r="A56" t="s">
        <v>39</v>
      </c>
      <c r="B56">
        <v>10</v>
      </c>
    </row>
    <row r="57" spans="1:2" x14ac:dyDescent="0.3">
      <c r="A57" t="s">
        <v>39</v>
      </c>
      <c r="B57">
        <v>1</v>
      </c>
    </row>
    <row r="58" spans="1:2" x14ac:dyDescent="0.3">
      <c r="A58" t="s">
        <v>39</v>
      </c>
      <c r="B58">
        <v>1</v>
      </c>
    </row>
    <row r="59" spans="1:2" x14ac:dyDescent="0.3">
      <c r="A59" t="s">
        <v>39</v>
      </c>
      <c r="B59">
        <v>10</v>
      </c>
    </row>
    <row r="60" spans="1:2" x14ac:dyDescent="0.3">
      <c r="A60" t="s">
        <v>39</v>
      </c>
      <c r="B60">
        <v>1</v>
      </c>
    </row>
    <row r="61" spans="1:2" x14ac:dyDescent="0.3">
      <c r="A61" t="s">
        <v>39</v>
      </c>
      <c r="B61">
        <v>1</v>
      </c>
    </row>
  </sheetData>
  <sortState xmlns:xlrd2="http://schemas.microsoft.com/office/spreadsheetml/2017/richdata2" ref="A2:B61">
    <sortCondition ref="A2:A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215968_Tut 07 Jemima R_2022-11-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JEMIMA</dc:creator>
  <cp:lastModifiedBy>JEMIMA</cp:lastModifiedBy>
  <dcterms:created xsi:type="dcterms:W3CDTF">2022-12-01T09:26:24Z</dcterms:created>
  <dcterms:modified xsi:type="dcterms:W3CDTF">2022-12-01T10:07:57Z</dcterms:modified>
</cp:coreProperties>
</file>